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Tasks_indicators/Ferramentas_/App_nivelamento sem filas/"/>
    </mc:Choice>
  </mc:AlternateContent>
  <xr:revisionPtr revIDLastSave="86" documentId="8_{88442A43-80A2-4BB6-A942-89946CC021CA}" xr6:coauthVersionLast="47" xr6:coauthVersionMax="47" xr10:uidLastSave="{63AEDDB8-C2B1-41B3-BBE3-0836BDB0971F}"/>
  <bookViews>
    <workbookView xWindow="-120" yWindow="-120" windowWidth="29040" windowHeight="15720" xr2:uid="{6263228E-0E4C-4E46-8E47-C96EF78AB16B}"/>
  </bookViews>
  <sheets>
    <sheet name="Planilha1" sheetId="1" r:id="rId1"/>
    <sheet name="PROMPT" sheetId="2" state="hidden" r:id="rId2"/>
  </sheets>
  <definedNames>
    <definedName name="_xlnm._FilterDatabase" localSheetId="0" hidden="1">Planilha1!$A$1:$S$158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8" i="1" l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<sst xmlns="http://schemas.openxmlformats.org/spreadsheetml/2006/main" count="875" uniqueCount="270">
  <si>
    <t>SITE</t>
  </si>
  <si>
    <t>PRODUCT NEED</t>
  </si>
  <si>
    <t>PRODUCT BRAND</t>
  </si>
  <si>
    <t xml:space="preserve"> jan/26</t>
  </si>
  <si>
    <t xml:space="preserve"> fev/26</t>
  </si>
  <si>
    <t xml:space="preserve"> mar/26</t>
  </si>
  <si>
    <t xml:space="preserve"> abr/26</t>
  </si>
  <si>
    <t xml:space="preserve"> mai/26</t>
  </si>
  <si>
    <t xml:space="preserve"> jun/26</t>
  </si>
  <si>
    <t xml:space="preserve"> jul/26</t>
  </si>
  <si>
    <t xml:space="preserve"> ago/26</t>
  </si>
  <si>
    <t xml:space="preserve"> set/26</t>
  </si>
  <si>
    <t xml:space="preserve"> out/26</t>
  </si>
  <si>
    <t xml:space="preserve"> nov/26</t>
  </si>
  <si>
    <t xml:space="preserve"> dez/26</t>
  </si>
  <si>
    <t xml:space="preserve"> TOTAL</t>
  </si>
  <si>
    <t>Tractors</t>
  </si>
  <si>
    <t>MODELO</t>
  </si>
  <si>
    <t>MERCADO</t>
  </si>
  <si>
    <t>PRODUTO</t>
  </si>
  <si>
    <t>Quero gerar a programação de produção do 2º semestre de 2026 (a partir de julho) com base no arquivo Excel que vou carregar. Use exatamente as regras, algoritmo e saídas a seguir.</t>
  </si>
  <si>
    <t>ARQUIVO DE ENTRADA</t>
  </si>
  <si>
    <t>- Planilha de origem: "Planilha1"</t>
  </si>
  <si>
    <t>- Colunas de referência:</t>
  </si>
  <si>
    <t>  • B: MODELO</t>
  </si>
  <si>
    <t>  • D: PRODUTO</t>
  </si>
  <si>
    <t>  • F: MERCADO</t>
  </si>
  <si>
    <t>  • G até R: meses de 2026 (jul/26, ago/26, set/26, out/26, nov/26, dez/26)</t>
  </si>
  <si>
    <t>- Observação: pode haver linhas repetidas por PRODUTO/MERCADO/MODELO; somar o volume mensal por combinação.</t>
  </si>
  <si>
    <t>REGRAS FIXAS</t>
  </si>
  <si>
    <t>1) Dias úteis e capacidade: considerar apenas segunda a sexta, sem feriados, com capacidade de 50 unidades por dia útil.</t>
  </si>
  <si>
    <t>2) Início: 1º dia útil de julho de 2026.</t>
  </si>
  <si>
    <t>3) Prioridade de mercado: produtos cujo MERCADO seja diferente de "MERCADO INTERNO" têm prioridade diária na ocupação de slots; somente depois completar com "MERCADO INTERNO".</t>
  </si>
  <si>
    <t>4) Cumprimento do volume mensal por produto (regra rígida):</t>
  </si>
  <si>
    <t>   - Em cada mês (jul–dez/26), programar exatamente a quantidade indicada na base por PRODUTO.</t>
  </si>
  <si>
    <t>   - Se o necessário do mês ≤ capacidade (50 × dias úteis), programar apenas os dias necessários; o último dia do mês pode ter menos de 50 unidades.</t>
  </si>
  <si>
    <t>   - Se o necessário do mês &gt; capacidade, usar TODOS os dias úteis a 50 unidades e alocar o excedente em SÁBADOS DO MESMO MÊS, somente o quanto faltar (máx. 50 por sábado). Não usar feriados (caso existam), e não usar domingos.</t>
  </si>
  <si>
    <t>5) IDs únicos globais:</t>
  </si>
  <si>
    <t>   - Criar IDs no formato **“fila N”**, onde N é sequencial global (não reinicia por dia nem por mês). Ex.: fila 1, fila 2, … fila N.</t>
  </si>
  <si>
    <t>   - Garantir que **não exista** repetição de ID em todo o semestre (idealmente no ano).</t>
  </si>
  <si>
    <t>   - Ordenação de base para geração dos IDs: **dt de produção**, depois **MODELO**, depois **PRODUTO** (ou ordem estável equivalente).</t>
  </si>
  <si>
    <t>6) Meses a considerar: jul/26, ago/26, set/26, out/26, nov/26, dez/26 (mesmo que algum tenha zero).</t>
  </si>
  <si>
    <t>7) Consistência: preservar a associação correta entre PRODUTO ↔ MERCADO ↔ MODELO durante toda a programação.</t>
  </si>
  <si>
    <t>ALGORITMO DE BALANCEAMENTO (por dia)</t>
  </si>
  <si>
    <t>A) Em cada mês, gere o calendário de produção como lista de dias: primeiro, **sábados extras** (se houver excedente do mês), depois **dias úteis** (ou, se preferir, dias úteis primeiro e, ao final, os sábados — desde que o excedente vá para sábado).</t>
  </si>
  <si>
    <t>B) Para **cada dia** com capacidade **S** (S = 50 em dias úteis; em sábado de excedente S = min(50, excedente remanescente)):</t>
  </si>
  <si>
    <t>   1. Calcule o **saldo mensal restante por MODELO** (somando prioridade e MI).</t>
  </si>
  <si>
    <t>   2. Compute a **cota diária por MODELO** de forma **proporcional ao saldo**:</t>
  </si>
  <si>
    <t>      - cota(modelo) = floor(S × saldo_modelo / saldo_total).</t>
  </si>
  <si>
    <t>      - Distribua os **restos** pelo método dos **maiores restos** até completar S.</t>
  </si>
  <si>
    <t>      - **Cap**: nunca alocar mais que o saldo do MODELO.</t>
  </si>
  <si>
    <t>   3. **Sequenciamento**: preencha os S slots em **round-robin por MODELO**, consumindo as cotas do dia. Dentro de cada MODELO, **priorize mercados ≠ MERCADO INTERNO**; se esgotar, complete com MI.</t>
  </si>
  <si>
    <t>   4. Avance o dia e repita até cumprir exatamente o volume do mês.</t>
  </si>
  <si>
    <t>C) Quando o necessário do mês for menor que a capacidade, **use apenas os dias necessários** (último dia pode ter S &lt; 50).</t>
  </si>
  <si>
    <t>SAÍDAS (gerar um NOVO arquivo Excel)</t>
  </si>
  <si>
    <t>- Nome do arquivo: **[PARAM] programacao_2S2026_balanceada.xlsx**</t>
  </si>
  <si>
    <t>1) Aba **"Programacao_2S2026"** (nesta ordem de colunas):</t>
  </si>
  <si>
    <t>   A: dt de produção (data)</t>
  </si>
  <si>
    <t>   B: mês/ano produção (formato MMM/AAAA em pt-BR, ex.: Jul/2026)</t>
  </si>
  <si>
    <t>   C: produto</t>
  </si>
  <si>
    <t>   D: modelo</t>
  </si>
  <si>
    <t>   E: ID  (apenas “fila N”, global e único)</t>
  </si>
  <si>
    <t>   F: mercado</t>
  </si>
  <si>
    <t>   G: mês produção (MM)</t>
  </si>
  <si>
    <t>   H: ano produção (YYYY)</t>
  </si>
  <si>
    <t>   • Ordenar por dt de produção e, como desempate, MODELO e PRODUTO (ou outra ordenação estável) antes de numerar os IDs globais.</t>
  </si>
  <si>
    <t>2) Aba **"Relatorio_2S2026"**:</t>
  </si>
  <si>
    <t>   - Para cada mês (jul/26…dez/26), mostrar:</t>
  </si>
  <si>
    <t>     • dias_uteis (seg-sex)</t>
  </si>
  <si>
    <t>     • capacidade (50/dia util)</t>
  </si>
  <si>
    <t>     • necessário (unid)  [soma do mês na base]</t>
  </si>
  <si>
    <t>     • programado (unid)  [contagem de linhas do mês]</t>
  </si>
  <si>
    <t>     • unidades em dia extra (fora seg-sex)  [somente o que efetivamente foi produzido em sábado]</t>
  </si>
  <si>
    <t>     • desvio (programado - necessário)</t>
  </si>
  <si>
    <t>     • utilização da capacidade (programado / capacidade)  [considerando apenas dias úteis]</t>
  </si>
  <si>
    <t>   - Quebras adicionais:</t>
  </si>
  <si>
    <t>     • Programado por MERCADO (tabela simples)</t>
  </si>
  <si>
    <t>     • Programado por MODELO (tabela simples)</t>
  </si>
  <si>
    <t>3) Aba **"Base_Original"**:</t>
  </si>
  <si>
    <t>   - Copiar a planilha de origem para rastreabilidade.</t>
  </si>
  <si>
    <t>CRITÉRIOS DE ACEITAÇÃO</t>
  </si>
  <si>
    <t>- **IDs**: sequência única global (ex.: “fila 1” até “fila N”) sem repetições.</t>
  </si>
  <si>
    <t>- **Mensal**: para cada mês, **programado = necessário**. Se usou sábado, **unidades em dia extra** deve ser exatamente o excedente do mês.</t>
  </si>
  <si>
    <t>- **Prioridade**: em cada dia, alocação sempre tenta primeiro os mercados ≠ MERCADO INTERNO dentro da cota do MODELO.</t>
  </si>
  <si>
    <t>- **Balanceamento diário por MODELO**: picos reduzidos, seguindo a **cota proporcional** baseada no saldo restante do mês e método dos maiores restos.</t>
  </si>
  <si>
    <t>- **Regra 7**: quando necessário &lt; capacidade, **programar só dias necessários**; o último dia pode ter menos de 50 unidades.</t>
  </si>
  <si>
    <t>PARÂMETROS OPCIONAIS (se eu informar, aplique)</t>
  </si>
  <si>
    <t>- **[PARAM] limite_diario_por_modelo**: se definido (ex.: 10), nenhum MODELO pode ultrapassar esse valor em um dia; excedente redistribuir para dias seguintes.</t>
  </si>
  <si>
    <t>- **[PARAM] teto_sabado**: por padrão 50; permitir reduzir (ex.: 20) se necessário.</t>
  </si>
  <si>
    <t>- **[PARAM] nomenclatura_arquivo**: substituir o nome do arquivo de saída.</t>
  </si>
  <si>
    <t>- **[PARAM] intervalo_meses**: permitir trocar os meses (ex.: 1º semestre do ano seguinte), mantendo todas as regras.</t>
  </si>
  <si>
    <t>MERCADO INTERNO</t>
  </si>
  <si>
    <t>EXPORTACAO AMERICA DO SUL</t>
  </si>
  <si>
    <t>ARGENTINA</t>
  </si>
  <si>
    <t>AFRICA</t>
  </si>
  <si>
    <t>33M54PBB00B</t>
  </si>
  <si>
    <t>33M64P1A10B</t>
  </si>
  <si>
    <t>33M64P2B10B</t>
  </si>
  <si>
    <t>33M64PBB00B</t>
  </si>
  <si>
    <t>33M74P1A10B</t>
  </si>
  <si>
    <t>33M74P1H10B</t>
  </si>
  <si>
    <t>33M74P2B10B</t>
  </si>
  <si>
    <t>33Z84P02301</t>
  </si>
  <si>
    <t>33Z84P1B0AE</t>
  </si>
  <si>
    <t>34E84CD1DCB</t>
  </si>
  <si>
    <t>34M64CD19CB</t>
  </si>
  <si>
    <t>34M64CD19CK</t>
  </si>
  <si>
    <t>34M64PD19AB</t>
  </si>
  <si>
    <t>34M74CD19CB</t>
  </si>
  <si>
    <t>34M74CD1DCB</t>
  </si>
  <si>
    <t>34M74PD19AB</t>
  </si>
  <si>
    <t>34Z94CD2HPA</t>
  </si>
  <si>
    <t>43054PAGA0B</t>
  </si>
  <si>
    <t>43054PAHA0B</t>
  </si>
  <si>
    <t>43064PESA0B</t>
  </si>
  <si>
    <t>4307LP1IA0B</t>
  </si>
  <si>
    <t>4307LP22A0B</t>
  </si>
  <si>
    <t>4308EC03414</t>
  </si>
  <si>
    <t>4308ECR1B1Y</t>
  </si>
  <si>
    <t>4309EC01MBE</t>
  </si>
  <si>
    <t>4309EC02ABE</t>
  </si>
  <si>
    <t>4309EC0BAAC</t>
  </si>
  <si>
    <t>4310EC021BE</t>
  </si>
  <si>
    <t>4310EC02MBE</t>
  </si>
  <si>
    <t>4310EC0CAAE</t>
  </si>
  <si>
    <t>44085CBSA0B</t>
  </si>
  <si>
    <t>44085PBSA0B</t>
  </si>
  <si>
    <t>4408XC1SA0B</t>
  </si>
  <si>
    <t>4408XCBSA0B</t>
  </si>
  <si>
    <t>4408XCCSA0B</t>
  </si>
  <si>
    <t>4408XP1SA0B</t>
  </si>
  <si>
    <t>4408XPBSA0B</t>
  </si>
  <si>
    <t>4408XPCSA0B</t>
  </si>
  <si>
    <t>44090C1AA0B</t>
  </si>
  <si>
    <t>44090C3AA0B</t>
  </si>
  <si>
    <t>44090CCAA0B</t>
  </si>
  <si>
    <t>44090P3AA0B</t>
  </si>
  <si>
    <t>44090PCAA0B</t>
  </si>
  <si>
    <t>44100C1AA0B</t>
  </si>
  <si>
    <t>44100C3AA0B</t>
  </si>
  <si>
    <t>44100CCAA0B</t>
  </si>
  <si>
    <t>44100CCAA0K</t>
  </si>
  <si>
    <t>44100P3AA0B</t>
  </si>
  <si>
    <t>44100PCAA0B</t>
  </si>
  <si>
    <t>47070C412PB</t>
  </si>
  <si>
    <t>47070C41MAB</t>
  </si>
  <si>
    <t>47070C41TAB</t>
  </si>
  <si>
    <t>47070C42SBB</t>
  </si>
  <si>
    <t>47070C432PB</t>
  </si>
  <si>
    <t>47070P4BASE</t>
  </si>
  <si>
    <t>4707TC4BASE</t>
  </si>
  <si>
    <t>4707TC4RICE</t>
  </si>
  <si>
    <t>4707VP412AB</t>
  </si>
  <si>
    <t>47080C412PB</t>
  </si>
  <si>
    <t>47080C44304</t>
  </si>
  <si>
    <t>47090C43S1B</t>
  </si>
  <si>
    <t>47090C43SPB</t>
  </si>
  <si>
    <t>47090C44301</t>
  </si>
  <si>
    <t>67110C41CPB</t>
  </si>
  <si>
    <t>67110C41DPB</t>
  </si>
  <si>
    <t>67110P41APB</t>
  </si>
  <si>
    <t>67120P41CPB</t>
  </si>
  <si>
    <t>67130C41C1B</t>
  </si>
  <si>
    <t>67130C41CPB</t>
  </si>
  <si>
    <t>67130C41D4B</t>
  </si>
  <si>
    <t>67130C43CPB</t>
  </si>
  <si>
    <t>6713RC47CVB</t>
  </si>
  <si>
    <t>67140C43EPB</t>
  </si>
  <si>
    <t>A07S4C01SAB</t>
  </si>
  <si>
    <t>A07S4C032AB</t>
  </si>
  <si>
    <t>A09S4C03AAB</t>
  </si>
  <si>
    <t>A09S4C03SAB</t>
  </si>
  <si>
    <t>A13H4C02CAB</t>
  </si>
  <si>
    <t>A13H4C03CAB</t>
  </si>
  <si>
    <t>A13H4C07CVB</t>
  </si>
  <si>
    <t>A144HC04EAB</t>
  </si>
  <si>
    <t>A144HC09EMB</t>
  </si>
  <si>
    <t>A52P4PAGA0B</t>
  </si>
  <si>
    <t>A52P4PAHA0B</t>
  </si>
  <si>
    <t>A52P4PBGB0B</t>
  </si>
  <si>
    <t>A62P4PEGA0B</t>
  </si>
  <si>
    <t>A62P4PEHA0B</t>
  </si>
  <si>
    <t>A62P4PESA0B</t>
  </si>
  <si>
    <t>A800CM1SA0B</t>
  </si>
  <si>
    <t>A800CMBSA0B</t>
  </si>
  <si>
    <t>A800CMCSA0B</t>
  </si>
  <si>
    <t>A800CMESA0B</t>
  </si>
  <si>
    <t>A800CMEUP0B</t>
  </si>
  <si>
    <t>A800PM1SA0B</t>
  </si>
  <si>
    <t>A800PMCSA0B</t>
  </si>
  <si>
    <t>A800PMESA0B</t>
  </si>
  <si>
    <t>A800PMEUP0B</t>
  </si>
  <si>
    <t>A850C0CSA0B</t>
  </si>
  <si>
    <t>A850P0CSA0B</t>
  </si>
  <si>
    <t>A950C0CAA0B</t>
  </si>
  <si>
    <t>A950C0EAA0B</t>
  </si>
  <si>
    <t>A950P0CAA0B</t>
  </si>
  <si>
    <t>A950P0EAA0B</t>
  </si>
  <si>
    <t>A990C0CAA0B</t>
  </si>
  <si>
    <t>A990C0EAA0B</t>
  </si>
  <si>
    <t>A990P0CAA0B</t>
  </si>
  <si>
    <t>A990P0EAA0B</t>
  </si>
  <si>
    <t>AM6F4CD1FGB</t>
  </si>
  <si>
    <t>AM6F4PD1FAB</t>
  </si>
  <si>
    <t>AM7F4CD1FGB</t>
  </si>
  <si>
    <t>AM7F4PD1FAB</t>
  </si>
  <si>
    <t>AM7F4PSCHIO</t>
  </si>
  <si>
    <t>AZ9F4PD1F4A</t>
  </si>
  <si>
    <t>A09S4C03ABB</t>
  </si>
  <si>
    <t>A105C03AAAB</t>
  </si>
  <si>
    <t>A135C03CACB</t>
  </si>
  <si>
    <t>A145C04EACB</t>
  </si>
  <si>
    <t>5M115C1CACB</t>
  </si>
  <si>
    <t>5M135C1CACB</t>
  </si>
  <si>
    <t>5M115C1AACB</t>
  </si>
  <si>
    <t>5M115P1CACB</t>
  </si>
  <si>
    <t>5M145C4EACB</t>
  </si>
  <si>
    <t>AZ7F4PDAF4A</t>
  </si>
  <si>
    <t>5M135P1CACB</t>
  </si>
  <si>
    <t>5M125C1CACB</t>
  </si>
  <si>
    <t>A115C03CACB</t>
  </si>
  <si>
    <t>A125C03CACB</t>
  </si>
  <si>
    <t>44100C1AA0K</t>
  </si>
  <si>
    <t>67110C41APK</t>
  </si>
  <si>
    <t>33Z74P1B0AE</t>
  </si>
  <si>
    <t>A800LMMXA2B</t>
  </si>
  <si>
    <t>4408XP3SA0K</t>
  </si>
  <si>
    <t>5M135C2CACB</t>
  </si>
  <si>
    <t>4707TC4CREP</t>
  </si>
  <si>
    <t>4708TC4CREP</t>
  </si>
  <si>
    <t>5M105C3CACB</t>
  </si>
  <si>
    <t>5M105CAAACB</t>
  </si>
  <si>
    <t>5M105P1CACB</t>
  </si>
  <si>
    <t>5M105PAAAAB</t>
  </si>
  <si>
    <t>A990RC09601</t>
  </si>
  <si>
    <t>AM7F4CD1GGK</t>
  </si>
  <si>
    <t>4309E207304</t>
  </si>
  <si>
    <t>4309EC07309</t>
  </si>
  <si>
    <t>34M64CD1RCK</t>
  </si>
  <si>
    <t>4307EL02309</t>
  </si>
  <si>
    <t>4309EC07310</t>
  </si>
  <si>
    <t>A115C001304</t>
  </si>
  <si>
    <t>AZ8F4PDAF4A</t>
  </si>
  <si>
    <t>67110P43C1B</t>
  </si>
  <si>
    <t>T4M095C01301</t>
  </si>
  <si>
    <t>T4M095P01302</t>
  </si>
  <si>
    <t>T4M075P01303</t>
  </si>
  <si>
    <t>TA75P0001301</t>
  </si>
  <si>
    <t>A850C001006</t>
  </si>
  <si>
    <t>A52P4PAXA0B</t>
  </si>
  <si>
    <t>4708TC4BASE</t>
  </si>
  <si>
    <t>5M105C1DACB</t>
  </si>
  <si>
    <t>LINHA 3300 XTRA</t>
  </si>
  <si>
    <t>LINHA 3400</t>
  </si>
  <si>
    <t>LINHA 4300</t>
  </si>
  <si>
    <t>LINHA 4400</t>
  </si>
  <si>
    <t>LINHA 4700</t>
  </si>
  <si>
    <t>LINHA 5M</t>
  </si>
  <si>
    <t>LINHA 6700</t>
  </si>
  <si>
    <t>LINHA 6700 R</t>
  </si>
  <si>
    <t>SÉRIE A4S</t>
  </si>
  <si>
    <t>SÉRIE A4 HiTech</t>
  </si>
  <si>
    <t>SÉRIE A5</t>
  </si>
  <si>
    <t>SÉRIE A2S</t>
  </si>
  <si>
    <t>SÉRIE A2R</t>
  </si>
  <si>
    <t>SÉRIE A3F</t>
  </si>
  <si>
    <t>PROJETO</t>
  </si>
  <si>
    <t>EME</t>
  </si>
  <si>
    <t>MEXICO</t>
  </si>
  <si>
    <t>CANOAS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</si>
</sst>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E0AB-3678-482E-AEF0-B59956067323}">
  <dimension ref="A1:S158"/>
  <sheetViews>
    <sheetView showGridLines="0" tabSelected="1" workbookViewId="0">
      <selection activeCell="A2" sqref="A2"/>
    </sheetView>
  </sheetViews>
  <sheetFormatPr defaultRowHeight="15" x14ac:dyDescent="0.25"/>
  <cols>
    <col min="1" max="1" width="15.7109375" customWidth="1"/>
    <col min="2" max="2" width="15.7109375" style="7" bestFit="1" customWidth="1"/>
    <col min="3" max="3" width="15.7109375" bestFit="1" customWidth="1"/>
    <col min="4" max="4" width="14.42578125" bestFit="1" customWidth="1"/>
    <col min="5" max="5" width="17" bestFit="1" customWidth="1"/>
    <col min="6" max="6" width="28.140625" bestFit="1" customWidth="1"/>
    <col min="7" max="7" width="6.85546875" style="4" bestFit="1" customWidth="1"/>
    <col min="8" max="8" width="7" style="4" bestFit="1" customWidth="1"/>
    <col min="9" max="9" width="7.5703125" style="4" bestFit="1" customWidth="1"/>
    <col min="10" max="10" width="7" style="4" bestFit="1" customWidth="1"/>
    <col min="11" max="11" width="7.42578125" style="4" bestFit="1" customWidth="1"/>
    <col min="12" max="12" width="7" style="4" bestFit="1" customWidth="1"/>
    <col min="13" max="13" width="6.42578125" style="4" bestFit="1" customWidth="1"/>
    <col min="14" max="14" width="7.28515625" style="4" bestFit="1" customWidth="1"/>
    <col min="15" max="15" width="7" style="4" bestFit="1" customWidth="1"/>
    <col min="16" max="16" width="7.140625" style="4" bestFit="1" customWidth="1"/>
    <col min="17" max="17" width="7.42578125" style="4" bestFit="1" customWidth="1"/>
    <col min="18" max="18" width="7.28515625" style="4" bestFit="1" customWidth="1"/>
    <col min="19" max="19" width="8.42578125" style="4" bestFit="1" customWidth="1"/>
  </cols>
  <sheetData>
    <row r="1" spans="1:19" x14ac:dyDescent="0.25">
      <c r="A1" s="1" t="s">
        <v>0</v>
      </c>
      <c r="B1" s="6" t="s">
        <v>17</v>
      </c>
      <c r="C1" s="1" t="s">
        <v>1</v>
      </c>
      <c r="D1" s="1" t="s">
        <v>19</v>
      </c>
      <c r="E1" s="1" t="s">
        <v>2</v>
      </c>
      <c r="F1" s="1" t="s">
        <v>18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x14ac:dyDescent="0.25">
      <c r="A2" s="3" t="s">
        <v>269</v>
      </c>
      <c r="B2" s="7" t="s">
        <v>252</v>
      </c>
      <c r="C2" s="3" t="s">
        <v>16</v>
      </c>
      <c r="D2" t="s">
        <v>95</v>
      </c>
      <c r="E2" s="3"/>
      <c r="F2" t="s">
        <v>91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f>SUM(G2:R2)</f>
        <v>1</v>
      </c>
    </row>
    <row r="3" spans="1:19" x14ac:dyDescent="0.25">
      <c r="A3" s="3" t="s">
        <v>269</v>
      </c>
      <c r="B3" s="7" t="s">
        <v>252</v>
      </c>
      <c r="C3" s="3" t="s">
        <v>16</v>
      </c>
      <c r="D3" t="s">
        <v>96</v>
      </c>
      <c r="E3" s="3"/>
      <c r="F3" t="s">
        <v>91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27</v>
      </c>
      <c r="N3" s="4">
        <v>3</v>
      </c>
      <c r="O3" s="4">
        <v>11</v>
      </c>
      <c r="P3" s="4">
        <v>2</v>
      </c>
      <c r="Q3" s="4">
        <v>2</v>
      </c>
      <c r="R3" s="4">
        <v>0</v>
      </c>
      <c r="S3" s="4">
        <f t="shared" ref="S3:S53" si="0">SUM(G3:R3)</f>
        <v>45</v>
      </c>
    </row>
    <row r="4" spans="1:19" x14ac:dyDescent="0.25">
      <c r="A4" s="3" t="s">
        <v>269</v>
      </c>
      <c r="B4" s="7" t="s">
        <v>252</v>
      </c>
      <c r="C4" s="3" t="s">
        <v>16</v>
      </c>
      <c r="D4" t="s">
        <v>97</v>
      </c>
      <c r="E4" s="3"/>
      <c r="F4" t="s">
        <v>91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4</v>
      </c>
      <c r="N4" s="4">
        <v>2</v>
      </c>
      <c r="O4" s="4">
        <v>1</v>
      </c>
      <c r="P4" s="4">
        <v>7</v>
      </c>
      <c r="Q4" s="4">
        <v>3</v>
      </c>
      <c r="R4" s="4">
        <v>0</v>
      </c>
      <c r="S4" s="4">
        <f t="shared" si="0"/>
        <v>17</v>
      </c>
    </row>
    <row r="5" spans="1:19" x14ac:dyDescent="0.25">
      <c r="A5" s="3" t="s">
        <v>269</v>
      </c>
      <c r="B5" s="7" t="s">
        <v>252</v>
      </c>
      <c r="C5" s="3" t="s">
        <v>16</v>
      </c>
      <c r="D5" t="s">
        <v>98</v>
      </c>
      <c r="E5" s="3"/>
      <c r="F5" t="s">
        <v>91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</v>
      </c>
      <c r="N5" s="4">
        <v>1</v>
      </c>
      <c r="O5" s="4">
        <v>3</v>
      </c>
      <c r="P5" s="4">
        <v>0</v>
      </c>
      <c r="Q5" s="4">
        <v>0</v>
      </c>
      <c r="R5" s="4">
        <v>0</v>
      </c>
      <c r="S5" s="4">
        <f t="shared" si="0"/>
        <v>6</v>
      </c>
    </row>
    <row r="6" spans="1:19" x14ac:dyDescent="0.25">
      <c r="A6" s="3" t="s">
        <v>269</v>
      </c>
      <c r="B6" s="7" t="s">
        <v>252</v>
      </c>
      <c r="C6" s="3" t="s">
        <v>16</v>
      </c>
      <c r="D6" t="s">
        <v>99</v>
      </c>
      <c r="E6" s="3"/>
      <c r="F6" t="s">
        <v>91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2</v>
      </c>
      <c r="N6" s="4">
        <v>5</v>
      </c>
      <c r="O6" s="4">
        <v>8</v>
      </c>
      <c r="P6" s="4">
        <v>3</v>
      </c>
      <c r="Q6" s="4">
        <v>1</v>
      </c>
      <c r="R6" s="4">
        <v>0</v>
      </c>
      <c r="S6" s="4">
        <f t="shared" si="0"/>
        <v>19</v>
      </c>
    </row>
    <row r="7" spans="1:19" x14ac:dyDescent="0.25">
      <c r="A7" s="3" t="s">
        <v>269</v>
      </c>
      <c r="B7" s="7" t="s">
        <v>252</v>
      </c>
      <c r="C7" s="3" t="s">
        <v>16</v>
      </c>
      <c r="D7" t="s">
        <v>100</v>
      </c>
      <c r="E7" s="3"/>
      <c r="F7" t="s">
        <v>91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2</v>
      </c>
      <c r="P7" s="4">
        <v>0</v>
      </c>
      <c r="Q7" s="4">
        <v>0</v>
      </c>
      <c r="R7" s="4">
        <v>0</v>
      </c>
      <c r="S7" s="4">
        <f t="shared" si="0"/>
        <v>3</v>
      </c>
    </row>
    <row r="8" spans="1:19" x14ac:dyDescent="0.25">
      <c r="A8" s="3" t="s">
        <v>269</v>
      </c>
      <c r="B8" s="7" t="s">
        <v>252</v>
      </c>
      <c r="C8" s="3" t="s">
        <v>16</v>
      </c>
      <c r="D8" t="s">
        <v>101</v>
      </c>
      <c r="E8" s="3"/>
      <c r="F8" t="s">
        <v>91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10</v>
      </c>
      <c r="N8" s="4">
        <v>5</v>
      </c>
      <c r="O8" s="4">
        <v>9</v>
      </c>
      <c r="P8" s="4">
        <v>9</v>
      </c>
      <c r="Q8" s="4">
        <v>4</v>
      </c>
      <c r="R8" s="4">
        <v>0</v>
      </c>
      <c r="S8" s="4">
        <f t="shared" si="0"/>
        <v>37</v>
      </c>
    </row>
    <row r="9" spans="1:19" x14ac:dyDescent="0.25">
      <c r="A9" s="3" t="s">
        <v>269</v>
      </c>
      <c r="B9" s="7" t="s">
        <v>252</v>
      </c>
      <c r="C9" s="3" t="s">
        <v>16</v>
      </c>
      <c r="D9" t="s">
        <v>102</v>
      </c>
      <c r="E9" s="3"/>
      <c r="F9" t="s">
        <v>92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24</v>
      </c>
      <c r="N9" s="4">
        <v>14</v>
      </c>
      <c r="O9" s="4">
        <v>12</v>
      </c>
      <c r="P9" s="4">
        <v>19</v>
      </c>
      <c r="Q9" s="4">
        <v>17</v>
      </c>
      <c r="R9" s="4">
        <v>0</v>
      </c>
      <c r="S9" s="4">
        <f t="shared" si="0"/>
        <v>86</v>
      </c>
    </row>
    <row r="10" spans="1:19" x14ac:dyDescent="0.25">
      <c r="A10" s="3" t="s">
        <v>269</v>
      </c>
      <c r="B10" s="7" t="s">
        <v>252</v>
      </c>
      <c r="C10" s="3" t="s">
        <v>16</v>
      </c>
      <c r="D10" t="s">
        <v>103</v>
      </c>
      <c r="E10" s="3"/>
      <c r="F10" t="s">
        <v>92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18</v>
      </c>
      <c r="N10" s="4">
        <v>12</v>
      </c>
      <c r="O10" s="4">
        <v>14</v>
      </c>
      <c r="P10" s="4">
        <v>19</v>
      </c>
      <c r="Q10" s="4">
        <v>20</v>
      </c>
      <c r="R10" s="4">
        <v>0</v>
      </c>
      <c r="S10" s="4">
        <f t="shared" si="0"/>
        <v>83</v>
      </c>
    </row>
    <row r="11" spans="1:19" x14ac:dyDescent="0.25">
      <c r="A11" s="3" t="s">
        <v>269</v>
      </c>
      <c r="B11" s="7" t="s">
        <v>253</v>
      </c>
      <c r="C11" s="3" t="s">
        <v>16</v>
      </c>
      <c r="D11" t="s">
        <v>104</v>
      </c>
      <c r="E11" s="3"/>
      <c r="F11" t="s">
        <v>91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0</v>
      </c>
      <c r="O11" s="4">
        <v>1</v>
      </c>
      <c r="P11" s="4">
        <v>4</v>
      </c>
      <c r="Q11" s="4">
        <v>1</v>
      </c>
      <c r="R11" s="4">
        <v>0</v>
      </c>
      <c r="S11" s="4">
        <f t="shared" si="0"/>
        <v>8</v>
      </c>
    </row>
    <row r="12" spans="1:19" x14ac:dyDescent="0.25">
      <c r="A12" s="3" t="s">
        <v>269</v>
      </c>
      <c r="B12" s="7" t="s">
        <v>253</v>
      </c>
      <c r="C12" t="s">
        <v>16</v>
      </c>
      <c r="D12" t="s">
        <v>105</v>
      </c>
      <c r="F12" t="s">
        <v>91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12</v>
      </c>
      <c r="N12" s="4">
        <v>12</v>
      </c>
      <c r="O12" s="4">
        <v>6</v>
      </c>
      <c r="P12" s="4">
        <v>8</v>
      </c>
      <c r="Q12" s="4">
        <v>9</v>
      </c>
      <c r="R12" s="4">
        <v>0</v>
      </c>
      <c r="S12" s="4">
        <f t="shared" si="0"/>
        <v>47</v>
      </c>
    </row>
    <row r="13" spans="1:19" x14ac:dyDescent="0.25">
      <c r="A13" s="3" t="s">
        <v>269</v>
      </c>
      <c r="B13" s="7" t="s">
        <v>253</v>
      </c>
      <c r="C13" t="s">
        <v>16</v>
      </c>
      <c r="D13" t="s">
        <v>106</v>
      </c>
      <c r="F13" t="s">
        <v>91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</v>
      </c>
      <c r="N13" s="4">
        <v>2</v>
      </c>
      <c r="O13" s="4">
        <v>0</v>
      </c>
      <c r="P13" s="4">
        <v>0</v>
      </c>
      <c r="Q13" s="4">
        <v>0</v>
      </c>
      <c r="R13" s="4">
        <v>0</v>
      </c>
      <c r="S13" s="4">
        <f t="shared" si="0"/>
        <v>5</v>
      </c>
    </row>
    <row r="14" spans="1:19" x14ac:dyDescent="0.25">
      <c r="A14" s="3" t="s">
        <v>269</v>
      </c>
      <c r="B14" s="7" t="s">
        <v>253</v>
      </c>
      <c r="C14" t="s">
        <v>16</v>
      </c>
      <c r="D14" t="s">
        <v>107</v>
      </c>
      <c r="F14" t="s">
        <v>91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6</v>
      </c>
      <c r="O14" s="4">
        <v>2</v>
      </c>
      <c r="P14" s="4">
        <v>0</v>
      </c>
      <c r="Q14" s="4">
        <v>0</v>
      </c>
      <c r="R14" s="4">
        <v>0</v>
      </c>
      <c r="S14" s="4">
        <f t="shared" si="0"/>
        <v>8</v>
      </c>
    </row>
    <row r="15" spans="1:19" x14ac:dyDescent="0.25">
      <c r="A15" s="3" t="s">
        <v>269</v>
      </c>
      <c r="B15" s="7" t="s">
        <v>253</v>
      </c>
      <c r="C15" t="s">
        <v>16</v>
      </c>
      <c r="D15" t="s">
        <v>108</v>
      </c>
      <c r="F15" t="s">
        <v>91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35</v>
      </c>
      <c r="N15" s="4">
        <v>35</v>
      </c>
      <c r="O15" s="4">
        <v>12</v>
      </c>
      <c r="P15" s="4">
        <v>46</v>
      </c>
      <c r="Q15" s="4">
        <v>8</v>
      </c>
      <c r="R15" s="4">
        <v>0</v>
      </c>
      <c r="S15" s="4">
        <f t="shared" si="0"/>
        <v>136</v>
      </c>
    </row>
    <row r="16" spans="1:19" x14ac:dyDescent="0.25">
      <c r="A16" s="3" t="s">
        <v>269</v>
      </c>
      <c r="B16" s="7" t="s">
        <v>253</v>
      </c>
      <c r="C16" t="s">
        <v>16</v>
      </c>
      <c r="D16" t="s">
        <v>109</v>
      </c>
      <c r="F16" t="s">
        <v>91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30</v>
      </c>
      <c r="N16" s="4">
        <v>1</v>
      </c>
      <c r="O16" s="4">
        <v>17</v>
      </c>
      <c r="P16" s="4">
        <v>8</v>
      </c>
      <c r="Q16" s="4">
        <v>14</v>
      </c>
      <c r="R16" s="4">
        <v>0</v>
      </c>
      <c r="S16" s="4">
        <f t="shared" si="0"/>
        <v>70</v>
      </c>
    </row>
    <row r="17" spans="1:19" x14ac:dyDescent="0.25">
      <c r="A17" s="3" t="s">
        <v>269</v>
      </c>
      <c r="B17" s="7" t="s">
        <v>253</v>
      </c>
      <c r="C17" t="s">
        <v>16</v>
      </c>
      <c r="D17" t="s">
        <v>110</v>
      </c>
      <c r="F17" t="s">
        <v>91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</v>
      </c>
      <c r="N17" s="4">
        <v>13</v>
      </c>
      <c r="O17" s="4">
        <v>4</v>
      </c>
      <c r="P17" s="4">
        <v>0</v>
      </c>
      <c r="Q17" s="4">
        <v>2</v>
      </c>
      <c r="R17" s="4">
        <v>0</v>
      </c>
      <c r="S17" s="4">
        <f t="shared" si="0"/>
        <v>23</v>
      </c>
    </row>
    <row r="18" spans="1:19" x14ac:dyDescent="0.25">
      <c r="A18" s="3" t="s">
        <v>269</v>
      </c>
      <c r="B18" s="7" t="s">
        <v>253</v>
      </c>
      <c r="C18" t="s">
        <v>16</v>
      </c>
      <c r="D18" t="s">
        <v>111</v>
      </c>
      <c r="F18" t="s">
        <v>93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3</v>
      </c>
      <c r="N18" s="4">
        <v>3</v>
      </c>
      <c r="O18" s="4">
        <v>0</v>
      </c>
      <c r="P18" s="4">
        <v>0</v>
      </c>
      <c r="Q18" s="4">
        <v>0</v>
      </c>
      <c r="R18" s="4">
        <v>0</v>
      </c>
      <c r="S18" s="4">
        <f t="shared" si="0"/>
        <v>6</v>
      </c>
    </row>
    <row r="19" spans="1:19" x14ac:dyDescent="0.25">
      <c r="A19" s="3" t="s">
        <v>269</v>
      </c>
      <c r="B19" s="7" t="s">
        <v>254</v>
      </c>
      <c r="C19" t="s">
        <v>16</v>
      </c>
      <c r="D19" t="s">
        <v>112</v>
      </c>
      <c r="F19" t="s">
        <v>91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16</v>
      </c>
      <c r="N19" s="4">
        <v>6</v>
      </c>
      <c r="O19" s="4">
        <v>6</v>
      </c>
      <c r="P19" s="4">
        <v>9</v>
      </c>
      <c r="Q19" s="4">
        <v>1</v>
      </c>
      <c r="R19" s="4">
        <v>0</v>
      </c>
      <c r="S19" s="4">
        <f t="shared" si="0"/>
        <v>38</v>
      </c>
    </row>
    <row r="20" spans="1:19" x14ac:dyDescent="0.25">
      <c r="A20" s="3" t="s">
        <v>269</v>
      </c>
      <c r="B20" s="7" t="s">
        <v>254</v>
      </c>
      <c r="C20" t="s">
        <v>16</v>
      </c>
      <c r="D20" t="s">
        <v>113</v>
      </c>
      <c r="F20" t="s">
        <v>91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4</v>
      </c>
      <c r="O20" s="4">
        <v>0</v>
      </c>
      <c r="P20" s="4">
        <v>0</v>
      </c>
      <c r="Q20" s="4">
        <v>0</v>
      </c>
      <c r="R20" s="4">
        <v>0</v>
      </c>
      <c r="S20" s="4">
        <f t="shared" si="0"/>
        <v>4</v>
      </c>
    </row>
    <row r="21" spans="1:19" x14ac:dyDescent="0.25">
      <c r="A21" s="3" t="s">
        <v>269</v>
      </c>
      <c r="B21" s="7" t="s">
        <v>254</v>
      </c>
      <c r="C21" t="s">
        <v>16</v>
      </c>
      <c r="D21" t="s">
        <v>114</v>
      </c>
      <c r="F21" t="s">
        <v>91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</v>
      </c>
      <c r="P21" s="4">
        <v>0</v>
      </c>
      <c r="Q21" s="4">
        <v>0</v>
      </c>
      <c r="R21" s="4">
        <v>0</v>
      </c>
      <c r="S21" s="4">
        <f t="shared" si="0"/>
        <v>2</v>
      </c>
    </row>
    <row r="22" spans="1:19" x14ac:dyDescent="0.25">
      <c r="A22" s="3" t="s">
        <v>269</v>
      </c>
      <c r="B22" s="7" t="s">
        <v>254</v>
      </c>
      <c r="C22" t="s">
        <v>16</v>
      </c>
      <c r="D22" t="s">
        <v>115</v>
      </c>
      <c r="F22" t="s">
        <v>91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4</v>
      </c>
      <c r="O22" s="4">
        <v>0</v>
      </c>
      <c r="P22" s="4">
        <v>0</v>
      </c>
      <c r="Q22" s="4">
        <v>0</v>
      </c>
      <c r="R22" s="4">
        <v>0</v>
      </c>
      <c r="S22" s="4">
        <f t="shared" si="0"/>
        <v>4</v>
      </c>
    </row>
    <row r="23" spans="1:19" x14ac:dyDescent="0.25">
      <c r="A23" s="3" t="s">
        <v>269</v>
      </c>
      <c r="B23" s="7" t="s">
        <v>254</v>
      </c>
      <c r="C23" t="s">
        <v>16</v>
      </c>
      <c r="D23" t="s">
        <v>116</v>
      </c>
      <c r="F23" t="s">
        <v>91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97</v>
      </c>
      <c r="N23" s="4">
        <v>176</v>
      </c>
      <c r="O23" s="4">
        <v>254</v>
      </c>
      <c r="P23" s="4">
        <v>159</v>
      </c>
      <c r="Q23" s="4">
        <v>38</v>
      </c>
      <c r="R23" s="4">
        <v>0</v>
      </c>
      <c r="S23" s="4">
        <f t="shared" si="0"/>
        <v>724</v>
      </c>
    </row>
    <row r="24" spans="1:19" x14ac:dyDescent="0.25">
      <c r="A24" s="3" t="s">
        <v>269</v>
      </c>
      <c r="B24" s="7" t="s">
        <v>254</v>
      </c>
      <c r="C24" t="s">
        <v>16</v>
      </c>
      <c r="D24" t="s">
        <v>117</v>
      </c>
      <c r="F24" t="s">
        <v>267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f t="shared" si="0"/>
        <v>2</v>
      </c>
    </row>
    <row r="25" spans="1:19" x14ac:dyDescent="0.25">
      <c r="A25" s="3" t="s">
        <v>269</v>
      </c>
      <c r="B25" s="7" t="s">
        <v>254</v>
      </c>
      <c r="C25" t="s">
        <v>16</v>
      </c>
      <c r="D25" t="s">
        <v>118</v>
      </c>
      <c r="F25" t="s">
        <v>267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f t="shared" si="0"/>
        <v>2</v>
      </c>
    </row>
    <row r="26" spans="1:19" x14ac:dyDescent="0.25">
      <c r="A26" s="3" t="s">
        <v>269</v>
      </c>
      <c r="B26" s="7" t="s">
        <v>254</v>
      </c>
      <c r="C26" t="s">
        <v>16</v>
      </c>
      <c r="D26" t="s">
        <v>119</v>
      </c>
      <c r="F26" t="s">
        <v>92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f t="shared" si="0"/>
        <v>12</v>
      </c>
    </row>
    <row r="27" spans="1:19" x14ac:dyDescent="0.25">
      <c r="A27" s="3" t="s">
        <v>269</v>
      </c>
      <c r="B27" s="7" t="s">
        <v>254</v>
      </c>
      <c r="C27" t="s">
        <v>16</v>
      </c>
      <c r="D27" t="s">
        <v>120</v>
      </c>
      <c r="F27" t="s">
        <v>92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14</v>
      </c>
      <c r="N27" s="4">
        <v>2</v>
      </c>
      <c r="O27" s="4">
        <v>0</v>
      </c>
      <c r="P27" s="4">
        <v>0</v>
      </c>
      <c r="Q27" s="4">
        <v>0</v>
      </c>
      <c r="R27" s="4">
        <v>0</v>
      </c>
      <c r="S27" s="4">
        <f t="shared" si="0"/>
        <v>16</v>
      </c>
    </row>
    <row r="28" spans="1:19" x14ac:dyDescent="0.25">
      <c r="A28" s="3" t="s">
        <v>269</v>
      </c>
      <c r="B28" s="7" t="s">
        <v>254</v>
      </c>
      <c r="C28" t="s">
        <v>16</v>
      </c>
      <c r="D28" t="s">
        <v>121</v>
      </c>
      <c r="F28" t="s">
        <v>92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6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f t="shared" si="0"/>
        <v>6</v>
      </c>
    </row>
    <row r="29" spans="1:19" x14ac:dyDescent="0.25">
      <c r="A29" s="3" t="s">
        <v>269</v>
      </c>
      <c r="B29" s="7" t="s">
        <v>254</v>
      </c>
      <c r="C29" t="s">
        <v>16</v>
      </c>
      <c r="D29" t="s">
        <v>122</v>
      </c>
      <c r="F29" t="s">
        <v>92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13</v>
      </c>
      <c r="N29" s="4">
        <v>7</v>
      </c>
      <c r="O29" s="4">
        <v>4</v>
      </c>
      <c r="P29" s="4">
        <v>1</v>
      </c>
      <c r="Q29" s="4">
        <v>2</v>
      </c>
      <c r="R29" s="4">
        <v>0</v>
      </c>
      <c r="S29" s="4">
        <f t="shared" si="0"/>
        <v>27</v>
      </c>
    </row>
    <row r="30" spans="1:19" x14ac:dyDescent="0.25">
      <c r="A30" s="3" t="s">
        <v>269</v>
      </c>
      <c r="B30" s="7" t="s">
        <v>254</v>
      </c>
      <c r="C30" t="s">
        <v>16</v>
      </c>
      <c r="D30" t="s">
        <v>123</v>
      </c>
      <c r="F30" t="s">
        <v>92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13</v>
      </c>
      <c r="N30" s="4">
        <v>6</v>
      </c>
      <c r="O30" s="4">
        <v>1</v>
      </c>
      <c r="P30" s="4">
        <v>4</v>
      </c>
      <c r="Q30" s="4">
        <v>2</v>
      </c>
      <c r="R30" s="4">
        <v>0</v>
      </c>
      <c r="S30" s="4">
        <f t="shared" si="0"/>
        <v>26</v>
      </c>
    </row>
    <row r="31" spans="1:19" x14ac:dyDescent="0.25">
      <c r="A31" s="3" t="s">
        <v>269</v>
      </c>
      <c r="B31" s="7" t="s">
        <v>254</v>
      </c>
      <c r="C31" t="s">
        <v>16</v>
      </c>
      <c r="D31" t="s">
        <v>124</v>
      </c>
      <c r="F31" t="s">
        <v>92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10</v>
      </c>
      <c r="N31" s="4">
        <v>4</v>
      </c>
      <c r="O31" s="4">
        <v>3</v>
      </c>
      <c r="P31" s="4">
        <v>11</v>
      </c>
      <c r="Q31" s="4">
        <v>2</v>
      </c>
      <c r="R31" s="4">
        <v>0</v>
      </c>
      <c r="S31" s="4">
        <f t="shared" si="0"/>
        <v>30</v>
      </c>
    </row>
    <row r="32" spans="1:19" x14ac:dyDescent="0.25">
      <c r="A32" s="3" t="s">
        <v>269</v>
      </c>
      <c r="B32" s="7" t="s">
        <v>255</v>
      </c>
      <c r="C32" t="s">
        <v>16</v>
      </c>
      <c r="D32" t="s">
        <v>125</v>
      </c>
      <c r="F32" t="s">
        <v>91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f t="shared" si="0"/>
        <v>2</v>
      </c>
    </row>
    <row r="33" spans="1:19" x14ac:dyDescent="0.25">
      <c r="A33" s="3" t="s">
        <v>269</v>
      </c>
      <c r="B33" s="7" t="s">
        <v>255</v>
      </c>
      <c r="C33" t="s">
        <v>16</v>
      </c>
      <c r="D33" t="s">
        <v>126</v>
      </c>
      <c r="F33" t="s">
        <v>91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1</v>
      </c>
      <c r="N33" s="4">
        <v>3</v>
      </c>
      <c r="O33" s="4">
        <v>0</v>
      </c>
      <c r="P33" s="4">
        <v>0</v>
      </c>
      <c r="Q33" s="4">
        <v>0</v>
      </c>
      <c r="R33" s="4">
        <v>0</v>
      </c>
      <c r="S33" s="4">
        <f t="shared" si="0"/>
        <v>4</v>
      </c>
    </row>
    <row r="34" spans="1:19" x14ac:dyDescent="0.25">
      <c r="A34" s="3" t="s">
        <v>269</v>
      </c>
      <c r="B34" s="7" t="s">
        <v>255</v>
      </c>
      <c r="C34" t="s">
        <v>16</v>
      </c>
      <c r="D34" t="s">
        <v>127</v>
      </c>
      <c r="F34" t="s">
        <v>91</v>
      </c>
      <c r="M34" s="4">
        <v>2</v>
      </c>
      <c r="N34" s="4">
        <v>2</v>
      </c>
      <c r="O34" s="4">
        <v>6</v>
      </c>
      <c r="P34" s="4">
        <v>4</v>
      </c>
      <c r="Q34" s="4">
        <v>3</v>
      </c>
      <c r="R34" s="4">
        <v>0</v>
      </c>
      <c r="S34" s="4">
        <f t="shared" si="0"/>
        <v>17</v>
      </c>
    </row>
    <row r="35" spans="1:19" x14ac:dyDescent="0.25">
      <c r="A35" s="3" t="s">
        <v>269</v>
      </c>
      <c r="B35" s="7" t="s">
        <v>255</v>
      </c>
      <c r="C35" t="s">
        <v>16</v>
      </c>
      <c r="D35" t="s">
        <v>128</v>
      </c>
      <c r="F35" t="s">
        <v>91</v>
      </c>
      <c r="M35" s="4">
        <v>21</v>
      </c>
      <c r="N35" s="4">
        <v>5</v>
      </c>
      <c r="O35" s="4">
        <v>0</v>
      </c>
      <c r="P35" s="4">
        <v>12</v>
      </c>
      <c r="Q35" s="4">
        <v>11</v>
      </c>
      <c r="R35" s="4">
        <v>0</v>
      </c>
      <c r="S35" s="4">
        <f t="shared" si="0"/>
        <v>49</v>
      </c>
    </row>
    <row r="36" spans="1:19" x14ac:dyDescent="0.25">
      <c r="A36" s="3" t="s">
        <v>269</v>
      </c>
      <c r="B36" s="7" t="s">
        <v>255</v>
      </c>
      <c r="C36" t="s">
        <v>16</v>
      </c>
      <c r="D36" t="s">
        <v>129</v>
      </c>
      <c r="F36" t="s">
        <v>91</v>
      </c>
      <c r="M36" s="4">
        <v>42</v>
      </c>
      <c r="N36" s="4">
        <v>11</v>
      </c>
      <c r="O36" s="4">
        <v>6</v>
      </c>
      <c r="P36" s="4">
        <v>9</v>
      </c>
      <c r="Q36" s="4">
        <v>27</v>
      </c>
      <c r="R36" s="4">
        <v>0</v>
      </c>
      <c r="S36" s="4">
        <f t="shared" si="0"/>
        <v>95</v>
      </c>
    </row>
    <row r="37" spans="1:19" x14ac:dyDescent="0.25">
      <c r="A37" s="3" t="s">
        <v>269</v>
      </c>
      <c r="B37" s="7" t="s">
        <v>255</v>
      </c>
      <c r="C37" t="s">
        <v>16</v>
      </c>
      <c r="D37" t="s">
        <v>130</v>
      </c>
      <c r="F37" t="s">
        <v>91</v>
      </c>
      <c r="M37" s="4">
        <v>0</v>
      </c>
      <c r="N37" s="4">
        <v>9</v>
      </c>
      <c r="O37" s="4">
        <v>0</v>
      </c>
      <c r="P37" s="4">
        <v>0</v>
      </c>
      <c r="Q37" s="4">
        <v>0</v>
      </c>
      <c r="R37" s="4">
        <v>0</v>
      </c>
      <c r="S37" s="4">
        <f t="shared" si="0"/>
        <v>9</v>
      </c>
    </row>
    <row r="38" spans="1:19" x14ac:dyDescent="0.25">
      <c r="A38" s="3" t="s">
        <v>269</v>
      </c>
      <c r="B38" s="7" t="s">
        <v>255</v>
      </c>
      <c r="C38" t="s">
        <v>16</v>
      </c>
      <c r="D38" t="s">
        <v>131</v>
      </c>
      <c r="F38" t="s">
        <v>91</v>
      </c>
      <c r="M38" s="4">
        <v>50</v>
      </c>
      <c r="N38" s="4">
        <v>19</v>
      </c>
      <c r="O38" s="4">
        <v>16</v>
      </c>
      <c r="P38" s="4">
        <v>7</v>
      </c>
      <c r="Q38" s="4">
        <v>17</v>
      </c>
      <c r="R38" s="4">
        <v>0</v>
      </c>
      <c r="S38" s="4">
        <f t="shared" si="0"/>
        <v>109</v>
      </c>
    </row>
    <row r="39" spans="1:19" x14ac:dyDescent="0.25">
      <c r="A39" s="3" t="s">
        <v>269</v>
      </c>
      <c r="B39" s="7" t="s">
        <v>255</v>
      </c>
      <c r="C39" t="s">
        <v>16</v>
      </c>
      <c r="D39" t="s">
        <v>132</v>
      </c>
      <c r="F39" t="s">
        <v>91</v>
      </c>
      <c r="M39" s="4">
        <v>49</v>
      </c>
      <c r="N39" s="4">
        <v>21</v>
      </c>
      <c r="O39" s="4">
        <v>59</v>
      </c>
      <c r="P39" s="4">
        <v>15</v>
      </c>
      <c r="Q39" s="4">
        <v>0</v>
      </c>
      <c r="R39" s="4">
        <v>0</v>
      </c>
      <c r="S39" s="4">
        <f t="shared" si="0"/>
        <v>144</v>
      </c>
    </row>
    <row r="40" spans="1:19" x14ac:dyDescent="0.25">
      <c r="A40" s="3" t="s">
        <v>269</v>
      </c>
      <c r="B40" s="7" t="s">
        <v>255</v>
      </c>
      <c r="C40" t="s">
        <v>16</v>
      </c>
      <c r="D40" t="s">
        <v>133</v>
      </c>
      <c r="F40" t="s">
        <v>91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0</v>
      </c>
      <c r="S40" s="4">
        <f t="shared" si="0"/>
        <v>1</v>
      </c>
    </row>
    <row r="41" spans="1:19" x14ac:dyDescent="0.25">
      <c r="A41" s="3" t="s">
        <v>269</v>
      </c>
      <c r="B41" s="7" t="s">
        <v>255</v>
      </c>
      <c r="C41" t="s">
        <v>16</v>
      </c>
      <c r="D41" t="s">
        <v>134</v>
      </c>
      <c r="F41" t="s">
        <v>91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0</v>
      </c>
      <c r="S41" s="4">
        <f t="shared" si="0"/>
        <v>1</v>
      </c>
    </row>
    <row r="42" spans="1:19" x14ac:dyDescent="0.25">
      <c r="A42" s="3" t="s">
        <v>269</v>
      </c>
      <c r="B42" s="7" t="s">
        <v>255</v>
      </c>
      <c r="C42" t="s">
        <v>16</v>
      </c>
      <c r="D42" t="s">
        <v>135</v>
      </c>
      <c r="F42" t="s">
        <v>91</v>
      </c>
      <c r="M42" s="4">
        <v>1</v>
      </c>
      <c r="N42" s="4">
        <v>4</v>
      </c>
      <c r="O42" s="4">
        <v>1</v>
      </c>
      <c r="P42" s="4">
        <v>0</v>
      </c>
      <c r="Q42" s="4">
        <v>1</v>
      </c>
      <c r="R42" s="4">
        <v>0</v>
      </c>
      <c r="S42" s="4">
        <f t="shared" si="0"/>
        <v>7</v>
      </c>
    </row>
    <row r="43" spans="1:19" x14ac:dyDescent="0.25">
      <c r="A43" s="3" t="s">
        <v>269</v>
      </c>
      <c r="B43" s="7" t="s">
        <v>255</v>
      </c>
      <c r="C43" t="s">
        <v>16</v>
      </c>
      <c r="D43" t="s">
        <v>136</v>
      </c>
      <c r="F43" t="s">
        <v>91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f t="shared" si="0"/>
        <v>1</v>
      </c>
    </row>
    <row r="44" spans="1:19" x14ac:dyDescent="0.25">
      <c r="A44" s="3" t="s">
        <v>269</v>
      </c>
      <c r="B44" s="7" t="s">
        <v>255</v>
      </c>
      <c r="C44" t="s">
        <v>16</v>
      </c>
      <c r="D44" t="s">
        <v>137</v>
      </c>
      <c r="F44" t="s">
        <v>91</v>
      </c>
      <c r="M44" s="4">
        <v>0</v>
      </c>
      <c r="N44" s="4">
        <v>3</v>
      </c>
      <c r="O44" s="4">
        <v>2</v>
      </c>
      <c r="P44" s="4">
        <v>0</v>
      </c>
      <c r="Q44" s="4">
        <v>0</v>
      </c>
      <c r="R44" s="4">
        <v>0</v>
      </c>
      <c r="S44" s="4">
        <f t="shared" si="0"/>
        <v>5</v>
      </c>
    </row>
    <row r="45" spans="1:19" x14ac:dyDescent="0.25">
      <c r="A45" s="3" t="s">
        <v>269</v>
      </c>
      <c r="B45" s="7" t="s">
        <v>255</v>
      </c>
      <c r="C45" t="s">
        <v>16</v>
      </c>
      <c r="D45" t="s">
        <v>138</v>
      </c>
      <c r="F45" t="s">
        <v>91</v>
      </c>
      <c r="M45" s="4">
        <v>0</v>
      </c>
      <c r="N45" s="4">
        <v>2</v>
      </c>
      <c r="O45" s="4">
        <v>1</v>
      </c>
      <c r="P45" s="4">
        <v>0</v>
      </c>
      <c r="Q45" s="4">
        <v>1</v>
      </c>
      <c r="R45" s="4">
        <v>0</v>
      </c>
      <c r="S45" s="4">
        <f t="shared" si="0"/>
        <v>4</v>
      </c>
    </row>
    <row r="46" spans="1:19" x14ac:dyDescent="0.25">
      <c r="A46" s="3" t="s">
        <v>269</v>
      </c>
      <c r="B46" s="7" t="s">
        <v>255</v>
      </c>
      <c r="C46" t="s">
        <v>16</v>
      </c>
      <c r="D46" t="s">
        <v>139</v>
      </c>
      <c r="F46" t="s">
        <v>91</v>
      </c>
      <c r="M46" s="4">
        <v>0</v>
      </c>
      <c r="N46" s="4">
        <v>6</v>
      </c>
      <c r="O46" s="4">
        <v>0</v>
      </c>
      <c r="P46" s="4">
        <v>0</v>
      </c>
      <c r="Q46" s="4">
        <v>0</v>
      </c>
      <c r="R46" s="4">
        <v>0</v>
      </c>
      <c r="S46" s="4">
        <f t="shared" si="0"/>
        <v>6</v>
      </c>
    </row>
    <row r="47" spans="1:19" x14ac:dyDescent="0.25">
      <c r="A47" s="3" t="s">
        <v>269</v>
      </c>
      <c r="B47" s="7" t="s">
        <v>255</v>
      </c>
      <c r="C47" t="s">
        <v>16</v>
      </c>
      <c r="D47" t="s">
        <v>140</v>
      </c>
      <c r="F47" t="s">
        <v>91</v>
      </c>
      <c r="M47" s="4">
        <v>5</v>
      </c>
      <c r="N47" s="4">
        <v>2</v>
      </c>
      <c r="O47" s="4">
        <v>3</v>
      </c>
      <c r="P47" s="4">
        <v>1</v>
      </c>
      <c r="Q47" s="4">
        <v>3</v>
      </c>
      <c r="R47" s="4">
        <v>0</v>
      </c>
      <c r="S47" s="4">
        <f t="shared" si="0"/>
        <v>14</v>
      </c>
    </row>
    <row r="48" spans="1:19" x14ac:dyDescent="0.25">
      <c r="A48" s="3" t="s">
        <v>269</v>
      </c>
      <c r="B48" s="7" t="s">
        <v>255</v>
      </c>
      <c r="C48" t="s">
        <v>16</v>
      </c>
      <c r="D48" t="s">
        <v>141</v>
      </c>
      <c r="F48" t="s">
        <v>91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f t="shared" si="0"/>
        <v>1</v>
      </c>
    </row>
    <row r="49" spans="1:19" x14ac:dyDescent="0.25">
      <c r="A49" s="3" t="s">
        <v>269</v>
      </c>
      <c r="B49" s="7" t="s">
        <v>255</v>
      </c>
      <c r="C49" t="s">
        <v>16</v>
      </c>
      <c r="D49" t="s">
        <v>142</v>
      </c>
      <c r="F49" t="s">
        <v>91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f t="shared" si="0"/>
        <v>1</v>
      </c>
    </row>
    <row r="50" spans="1:19" x14ac:dyDescent="0.25">
      <c r="A50" s="3" t="s">
        <v>269</v>
      </c>
      <c r="B50" s="7" t="s">
        <v>255</v>
      </c>
      <c r="C50" t="s">
        <v>16</v>
      </c>
      <c r="D50" t="s">
        <v>143</v>
      </c>
      <c r="F50" t="s">
        <v>91</v>
      </c>
      <c r="M50" s="4">
        <v>0</v>
      </c>
      <c r="N50" s="4">
        <v>3</v>
      </c>
      <c r="O50" s="4">
        <v>0</v>
      </c>
      <c r="P50" s="4">
        <v>0</v>
      </c>
      <c r="Q50" s="4">
        <v>0</v>
      </c>
      <c r="R50" s="4">
        <v>0</v>
      </c>
      <c r="S50" s="4">
        <f t="shared" si="0"/>
        <v>3</v>
      </c>
    </row>
    <row r="51" spans="1:19" x14ac:dyDescent="0.25">
      <c r="A51" s="3" t="s">
        <v>269</v>
      </c>
      <c r="B51" s="7" t="s">
        <v>256</v>
      </c>
      <c r="C51" t="s">
        <v>16</v>
      </c>
      <c r="D51" t="s">
        <v>144</v>
      </c>
      <c r="F51" t="s">
        <v>91</v>
      </c>
      <c r="M51" s="4">
        <v>5</v>
      </c>
      <c r="N51" s="4">
        <v>8</v>
      </c>
      <c r="O51" s="4">
        <v>6</v>
      </c>
      <c r="P51" s="4">
        <v>5</v>
      </c>
      <c r="Q51" s="4">
        <v>3</v>
      </c>
      <c r="R51" s="4">
        <v>0</v>
      </c>
      <c r="S51" s="4">
        <f t="shared" si="0"/>
        <v>27</v>
      </c>
    </row>
    <row r="52" spans="1:19" x14ac:dyDescent="0.25">
      <c r="A52" s="3" t="s">
        <v>269</v>
      </c>
      <c r="B52" s="7" t="s">
        <v>256</v>
      </c>
      <c r="C52" t="s">
        <v>16</v>
      </c>
      <c r="D52" t="s">
        <v>145</v>
      </c>
      <c r="F52" t="s">
        <v>91</v>
      </c>
      <c r="M52" s="4">
        <v>1</v>
      </c>
      <c r="N52" s="4">
        <v>3</v>
      </c>
      <c r="O52" s="4">
        <v>0</v>
      </c>
      <c r="P52" s="4">
        <v>4</v>
      </c>
      <c r="Q52" s="4">
        <v>0</v>
      </c>
      <c r="R52" s="4">
        <v>0</v>
      </c>
      <c r="S52" s="4">
        <f t="shared" si="0"/>
        <v>8</v>
      </c>
    </row>
    <row r="53" spans="1:19" x14ac:dyDescent="0.25">
      <c r="A53" s="3" t="s">
        <v>269</v>
      </c>
      <c r="B53" s="7" t="s">
        <v>256</v>
      </c>
      <c r="C53" t="s">
        <v>16</v>
      </c>
      <c r="D53" t="s">
        <v>146</v>
      </c>
      <c r="F53" t="s">
        <v>91</v>
      </c>
      <c r="M53" s="4">
        <v>4</v>
      </c>
      <c r="N53" s="4">
        <v>5</v>
      </c>
      <c r="O53" s="4">
        <v>0</v>
      </c>
      <c r="P53" s="4">
        <v>3</v>
      </c>
      <c r="Q53" s="4">
        <v>0</v>
      </c>
      <c r="R53" s="4">
        <v>0</v>
      </c>
      <c r="S53" s="4">
        <f t="shared" si="0"/>
        <v>12</v>
      </c>
    </row>
    <row r="54" spans="1:19" x14ac:dyDescent="0.25">
      <c r="A54" s="3" t="s">
        <v>269</v>
      </c>
      <c r="B54" s="7" t="s">
        <v>256</v>
      </c>
      <c r="C54" t="s">
        <v>16</v>
      </c>
      <c r="D54" t="s">
        <v>147</v>
      </c>
      <c r="F54" t="s">
        <v>91</v>
      </c>
      <c r="M54" s="4">
        <v>6</v>
      </c>
      <c r="N54" s="4">
        <v>8</v>
      </c>
      <c r="O54" s="4">
        <v>0</v>
      </c>
      <c r="P54" s="4">
        <v>9</v>
      </c>
      <c r="Q54" s="4">
        <v>3</v>
      </c>
      <c r="R54" s="4">
        <v>0</v>
      </c>
      <c r="S54" s="4">
        <f t="shared" ref="S54:S63" si="1">SUM(G54:R54)</f>
        <v>26</v>
      </c>
    </row>
    <row r="55" spans="1:19" x14ac:dyDescent="0.25">
      <c r="A55" s="3" t="s">
        <v>269</v>
      </c>
      <c r="B55" s="7" t="s">
        <v>256</v>
      </c>
      <c r="C55" t="s">
        <v>16</v>
      </c>
      <c r="D55" t="s">
        <v>148</v>
      </c>
      <c r="F55" t="s">
        <v>91</v>
      </c>
      <c r="M55" s="4">
        <v>15</v>
      </c>
      <c r="N55" s="4">
        <v>4</v>
      </c>
      <c r="O55" s="4">
        <v>0</v>
      </c>
      <c r="P55" s="4">
        <v>16</v>
      </c>
      <c r="Q55" s="4">
        <v>9</v>
      </c>
      <c r="R55" s="4">
        <v>0</v>
      </c>
      <c r="S55" s="4">
        <f t="shared" si="1"/>
        <v>44</v>
      </c>
    </row>
    <row r="56" spans="1:19" x14ac:dyDescent="0.25">
      <c r="A56" s="3" t="s">
        <v>269</v>
      </c>
      <c r="B56" s="7" t="s">
        <v>256</v>
      </c>
      <c r="C56" t="s">
        <v>16</v>
      </c>
      <c r="D56" t="s">
        <v>149</v>
      </c>
      <c r="F56" t="s">
        <v>91</v>
      </c>
      <c r="M56" s="4">
        <v>15</v>
      </c>
      <c r="N56" s="4">
        <v>17</v>
      </c>
      <c r="O56" s="4">
        <v>15</v>
      </c>
      <c r="P56" s="4">
        <v>14</v>
      </c>
      <c r="Q56" s="4">
        <v>3</v>
      </c>
      <c r="R56" s="4">
        <v>0</v>
      </c>
      <c r="S56" s="4">
        <f t="shared" si="1"/>
        <v>64</v>
      </c>
    </row>
    <row r="57" spans="1:19" x14ac:dyDescent="0.25">
      <c r="A57" s="3" t="s">
        <v>269</v>
      </c>
      <c r="B57" s="7" t="s">
        <v>256</v>
      </c>
      <c r="C57" t="s">
        <v>16</v>
      </c>
      <c r="D57" t="s">
        <v>150</v>
      </c>
      <c r="F57" t="s">
        <v>91</v>
      </c>
      <c r="M57" s="4">
        <v>16</v>
      </c>
      <c r="N57" s="4">
        <v>6</v>
      </c>
      <c r="O57" s="4">
        <v>16</v>
      </c>
      <c r="P57" s="4">
        <v>5</v>
      </c>
      <c r="Q57" s="4">
        <v>11</v>
      </c>
      <c r="R57" s="4">
        <v>0</v>
      </c>
      <c r="S57" s="4">
        <f t="shared" si="1"/>
        <v>54</v>
      </c>
    </row>
    <row r="58" spans="1:19" x14ac:dyDescent="0.25">
      <c r="A58" s="3" t="s">
        <v>269</v>
      </c>
      <c r="B58" s="7" t="s">
        <v>256</v>
      </c>
      <c r="C58" t="s">
        <v>16</v>
      </c>
      <c r="D58" t="s">
        <v>151</v>
      </c>
      <c r="F58" t="s">
        <v>91</v>
      </c>
      <c r="M58" s="4">
        <v>0</v>
      </c>
      <c r="N58" s="4">
        <v>3</v>
      </c>
      <c r="O58" s="4">
        <v>0</v>
      </c>
      <c r="P58" s="4">
        <v>0</v>
      </c>
      <c r="Q58" s="4">
        <v>0</v>
      </c>
      <c r="R58" s="4">
        <v>0</v>
      </c>
      <c r="S58" s="4">
        <f t="shared" si="1"/>
        <v>3</v>
      </c>
    </row>
    <row r="59" spans="1:19" x14ac:dyDescent="0.25">
      <c r="A59" s="3" t="s">
        <v>269</v>
      </c>
      <c r="B59" s="7" t="s">
        <v>256</v>
      </c>
      <c r="C59" t="s">
        <v>16</v>
      </c>
      <c r="D59" t="s">
        <v>152</v>
      </c>
      <c r="F59" t="s">
        <v>91</v>
      </c>
      <c r="M59" s="4">
        <v>8</v>
      </c>
      <c r="N59" s="4">
        <v>9</v>
      </c>
      <c r="O59" s="4">
        <v>2</v>
      </c>
      <c r="P59" s="4">
        <v>3</v>
      </c>
      <c r="Q59" s="4">
        <v>3</v>
      </c>
      <c r="R59" s="4">
        <v>0</v>
      </c>
      <c r="S59" s="4">
        <f t="shared" si="1"/>
        <v>25</v>
      </c>
    </row>
    <row r="60" spans="1:19" x14ac:dyDescent="0.25">
      <c r="A60" s="3" t="s">
        <v>269</v>
      </c>
      <c r="B60" s="7" t="s">
        <v>256</v>
      </c>
      <c r="C60" t="s">
        <v>16</v>
      </c>
      <c r="D60" t="s">
        <v>153</v>
      </c>
      <c r="F60" t="s">
        <v>91</v>
      </c>
      <c r="M60" s="4">
        <v>0</v>
      </c>
      <c r="N60" s="4">
        <v>2</v>
      </c>
      <c r="O60" s="4">
        <v>0</v>
      </c>
      <c r="P60" s="4">
        <v>0</v>
      </c>
      <c r="Q60" s="4">
        <v>0</v>
      </c>
      <c r="R60" s="4">
        <v>0</v>
      </c>
      <c r="S60" s="4">
        <f t="shared" si="1"/>
        <v>2</v>
      </c>
    </row>
    <row r="61" spans="1:19" x14ac:dyDescent="0.25">
      <c r="A61" s="3" t="s">
        <v>269</v>
      </c>
      <c r="B61" s="7" t="s">
        <v>256</v>
      </c>
      <c r="C61" t="s">
        <v>16</v>
      </c>
      <c r="D61" t="s">
        <v>154</v>
      </c>
      <c r="F61" t="s">
        <v>93</v>
      </c>
      <c r="M61" s="4">
        <v>2</v>
      </c>
      <c r="N61" s="4">
        <v>2</v>
      </c>
      <c r="O61" s="4">
        <v>1</v>
      </c>
      <c r="P61" s="4">
        <v>0</v>
      </c>
      <c r="Q61" s="4">
        <v>0</v>
      </c>
      <c r="R61" s="4">
        <v>0</v>
      </c>
      <c r="S61" s="4">
        <f t="shared" si="1"/>
        <v>5</v>
      </c>
    </row>
    <row r="62" spans="1:19" x14ac:dyDescent="0.25">
      <c r="A62" s="3" t="s">
        <v>269</v>
      </c>
      <c r="B62" s="7" t="s">
        <v>256</v>
      </c>
      <c r="C62" t="s">
        <v>16</v>
      </c>
      <c r="D62" t="s">
        <v>155</v>
      </c>
      <c r="F62" t="s">
        <v>91</v>
      </c>
      <c r="M62" s="4">
        <v>0</v>
      </c>
      <c r="N62" s="4">
        <v>2</v>
      </c>
      <c r="O62" s="4">
        <v>0</v>
      </c>
      <c r="P62" s="4">
        <v>0</v>
      </c>
      <c r="Q62" s="4">
        <v>0</v>
      </c>
      <c r="R62" s="4">
        <v>0</v>
      </c>
      <c r="S62" s="4">
        <f t="shared" si="1"/>
        <v>2</v>
      </c>
    </row>
    <row r="63" spans="1:19" x14ac:dyDescent="0.25">
      <c r="A63" s="3" t="s">
        <v>269</v>
      </c>
      <c r="B63" s="7" t="s">
        <v>256</v>
      </c>
      <c r="C63" t="s">
        <v>16</v>
      </c>
      <c r="D63" t="s">
        <v>156</v>
      </c>
      <c r="F63" t="s">
        <v>91</v>
      </c>
      <c r="M63" s="4">
        <v>4</v>
      </c>
      <c r="N63" s="4">
        <v>0</v>
      </c>
      <c r="O63" s="4">
        <v>0</v>
      </c>
      <c r="P63" s="4">
        <v>3</v>
      </c>
      <c r="Q63" s="4">
        <v>0</v>
      </c>
      <c r="R63" s="4">
        <v>0</v>
      </c>
      <c r="S63" s="4">
        <f t="shared" si="1"/>
        <v>7</v>
      </c>
    </row>
    <row r="64" spans="1:19" x14ac:dyDescent="0.25">
      <c r="A64" s="3" t="s">
        <v>269</v>
      </c>
      <c r="B64" s="7" t="s">
        <v>256</v>
      </c>
      <c r="C64" t="s">
        <v>16</v>
      </c>
      <c r="D64" t="s">
        <v>157</v>
      </c>
      <c r="F64" t="s">
        <v>93</v>
      </c>
      <c r="M64" s="4">
        <v>3</v>
      </c>
      <c r="N64" s="4">
        <v>3</v>
      </c>
      <c r="O64" s="4">
        <v>0</v>
      </c>
      <c r="P64" s="4">
        <v>0</v>
      </c>
      <c r="Q64" s="4">
        <v>0</v>
      </c>
      <c r="R64" s="4">
        <v>0</v>
      </c>
      <c r="S64" s="4">
        <f t="shared" ref="S64" si="2">SUM(G64:R64)</f>
        <v>6</v>
      </c>
    </row>
    <row r="65" spans="1:19" x14ac:dyDescent="0.25">
      <c r="A65" s="3" t="s">
        <v>269</v>
      </c>
      <c r="B65" s="7" t="s">
        <v>258</v>
      </c>
      <c r="C65" t="s">
        <v>16</v>
      </c>
      <c r="D65" t="s">
        <v>158</v>
      </c>
      <c r="F65" t="s">
        <v>91</v>
      </c>
      <c r="M65" s="4">
        <v>0</v>
      </c>
      <c r="N65" s="4">
        <v>16</v>
      </c>
      <c r="O65" s="4">
        <v>12</v>
      </c>
      <c r="P65" s="4">
        <v>10</v>
      </c>
      <c r="Q65" s="4">
        <v>10</v>
      </c>
      <c r="R65" s="4">
        <v>0</v>
      </c>
      <c r="S65" s="4">
        <f t="shared" ref="S65:S73" si="3">SUM(G65:R65)</f>
        <v>48</v>
      </c>
    </row>
    <row r="66" spans="1:19" x14ac:dyDescent="0.25">
      <c r="A66" s="3" t="s">
        <v>269</v>
      </c>
      <c r="B66" s="7" t="s">
        <v>258</v>
      </c>
      <c r="C66" t="s">
        <v>16</v>
      </c>
      <c r="D66" t="s">
        <v>159</v>
      </c>
      <c r="F66" t="s">
        <v>91</v>
      </c>
      <c r="M66" s="4">
        <v>0</v>
      </c>
      <c r="N66" s="4">
        <v>0</v>
      </c>
      <c r="O66" s="4">
        <v>1</v>
      </c>
      <c r="P66" s="4">
        <v>0</v>
      </c>
      <c r="Q66" s="4">
        <v>0</v>
      </c>
      <c r="R66" s="4">
        <v>0</v>
      </c>
      <c r="S66" s="4">
        <f t="shared" si="3"/>
        <v>1</v>
      </c>
    </row>
    <row r="67" spans="1:19" x14ac:dyDescent="0.25">
      <c r="A67" s="3" t="s">
        <v>269</v>
      </c>
      <c r="B67" s="7" t="s">
        <v>258</v>
      </c>
      <c r="C67" t="s">
        <v>16</v>
      </c>
      <c r="D67" t="s">
        <v>160</v>
      </c>
      <c r="F67" t="s">
        <v>91</v>
      </c>
      <c r="M67" s="4">
        <v>0</v>
      </c>
      <c r="N67" s="4">
        <v>0</v>
      </c>
      <c r="O67" s="4">
        <v>1</v>
      </c>
      <c r="P67" s="4">
        <v>0</v>
      </c>
      <c r="Q67" s="4">
        <v>0</v>
      </c>
      <c r="R67" s="4">
        <v>0</v>
      </c>
      <c r="S67" s="4">
        <f t="shared" si="3"/>
        <v>1</v>
      </c>
    </row>
    <row r="68" spans="1:19" x14ac:dyDescent="0.25">
      <c r="A68" s="3" t="s">
        <v>269</v>
      </c>
      <c r="B68" s="7" t="s">
        <v>258</v>
      </c>
      <c r="C68" t="s">
        <v>16</v>
      </c>
      <c r="D68" t="s">
        <v>161</v>
      </c>
      <c r="F68" t="s">
        <v>91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f t="shared" si="3"/>
        <v>1</v>
      </c>
    </row>
    <row r="69" spans="1:19" x14ac:dyDescent="0.25">
      <c r="A69" s="3" t="s">
        <v>269</v>
      </c>
      <c r="B69" s="7" t="s">
        <v>258</v>
      </c>
      <c r="C69" t="s">
        <v>16</v>
      </c>
      <c r="D69" t="s">
        <v>162</v>
      </c>
      <c r="F69" t="s">
        <v>91</v>
      </c>
      <c r="M69" s="4">
        <v>0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  <c r="S69" s="4">
        <f t="shared" si="3"/>
        <v>1</v>
      </c>
    </row>
    <row r="70" spans="1:19" x14ac:dyDescent="0.25">
      <c r="A70" s="3" t="s">
        <v>269</v>
      </c>
      <c r="B70" s="7" t="s">
        <v>258</v>
      </c>
      <c r="C70" t="s">
        <v>16</v>
      </c>
      <c r="D70" t="s">
        <v>163</v>
      </c>
      <c r="F70" t="s">
        <v>91</v>
      </c>
      <c r="M70" s="4">
        <v>9</v>
      </c>
      <c r="N70" s="4">
        <v>11</v>
      </c>
      <c r="O70" s="4">
        <v>7</v>
      </c>
      <c r="P70" s="4">
        <v>6</v>
      </c>
      <c r="Q70" s="4">
        <v>5</v>
      </c>
      <c r="R70" s="4">
        <v>0</v>
      </c>
      <c r="S70" s="4">
        <f t="shared" si="3"/>
        <v>38</v>
      </c>
    </row>
    <row r="71" spans="1:19" x14ac:dyDescent="0.25">
      <c r="A71" s="3" t="s">
        <v>269</v>
      </c>
      <c r="B71" s="7" t="s">
        <v>258</v>
      </c>
      <c r="C71" t="s">
        <v>16</v>
      </c>
      <c r="D71" t="s">
        <v>164</v>
      </c>
      <c r="F71" t="s">
        <v>91</v>
      </c>
      <c r="M71" s="4">
        <v>0</v>
      </c>
      <c r="N71" s="4">
        <v>0</v>
      </c>
      <c r="O71" s="4">
        <v>1</v>
      </c>
      <c r="P71" s="4">
        <v>0</v>
      </c>
      <c r="Q71" s="4">
        <v>0</v>
      </c>
      <c r="R71" s="4">
        <v>0</v>
      </c>
      <c r="S71" s="4">
        <f t="shared" si="3"/>
        <v>1</v>
      </c>
    </row>
    <row r="72" spans="1:19" x14ac:dyDescent="0.25">
      <c r="A72" s="3" t="s">
        <v>269</v>
      </c>
      <c r="B72" s="7" t="s">
        <v>258</v>
      </c>
      <c r="C72" t="s">
        <v>16</v>
      </c>
      <c r="D72" t="s">
        <v>165</v>
      </c>
      <c r="F72" t="s">
        <v>91</v>
      </c>
      <c r="M72" s="4">
        <v>2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f t="shared" si="3"/>
        <v>2</v>
      </c>
    </row>
    <row r="73" spans="1:19" x14ac:dyDescent="0.25">
      <c r="A73" s="3" t="s">
        <v>269</v>
      </c>
      <c r="B73" s="7" t="s">
        <v>259</v>
      </c>
      <c r="C73" t="s">
        <v>16</v>
      </c>
      <c r="D73" t="s">
        <v>166</v>
      </c>
      <c r="F73" t="s">
        <v>91</v>
      </c>
      <c r="M73" s="4">
        <v>0</v>
      </c>
      <c r="N73" s="4">
        <v>2</v>
      </c>
      <c r="O73" s="4">
        <v>1</v>
      </c>
      <c r="P73" s="4">
        <v>0</v>
      </c>
      <c r="Q73" s="4">
        <v>0</v>
      </c>
      <c r="R73" s="4">
        <v>0</v>
      </c>
      <c r="S73" s="4">
        <f t="shared" si="3"/>
        <v>3</v>
      </c>
    </row>
    <row r="74" spans="1:19" x14ac:dyDescent="0.25">
      <c r="A74" s="3" t="s">
        <v>269</v>
      </c>
      <c r="B74" s="7" t="s">
        <v>258</v>
      </c>
      <c r="C74" t="s">
        <v>16</v>
      </c>
      <c r="D74" t="s">
        <v>167</v>
      </c>
      <c r="F74" t="s">
        <v>91</v>
      </c>
      <c r="M74" s="4">
        <v>3</v>
      </c>
      <c r="N74" s="4">
        <v>6</v>
      </c>
      <c r="O74" s="4">
        <v>2</v>
      </c>
      <c r="P74" s="4">
        <v>7</v>
      </c>
      <c r="Q74" s="4">
        <v>2</v>
      </c>
      <c r="R74" s="4">
        <v>0</v>
      </c>
      <c r="S74" s="4">
        <f t="shared" ref="S74:S81" si="4">SUM(G74:R74)</f>
        <v>20</v>
      </c>
    </row>
    <row r="75" spans="1:19" x14ac:dyDescent="0.25">
      <c r="A75" s="3" t="s">
        <v>269</v>
      </c>
      <c r="B75" s="7" t="s">
        <v>260</v>
      </c>
      <c r="C75" t="s">
        <v>16</v>
      </c>
      <c r="D75" t="s">
        <v>168</v>
      </c>
      <c r="F75" t="s">
        <v>91</v>
      </c>
      <c r="M75" s="4">
        <v>2</v>
      </c>
      <c r="N75" s="4">
        <v>6</v>
      </c>
      <c r="O75" s="4">
        <v>2</v>
      </c>
      <c r="P75" s="4">
        <v>2</v>
      </c>
      <c r="Q75" s="4">
        <v>2</v>
      </c>
      <c r="R75" s="4">
        <v>0</v>
      </c>
      <c r="S75" s="4">
        <f t="shared" si="4"/>
        <v>14</v>
      </c>
    </row>
    <row r="76" spans="1:19" x14ac:dyDescent="0.25">
      <c r="A76" s="3" t="s">
        <v>269</v>
      </c>
      <c r="B76" s="7" t="s">
        <v>260</v>
      </c>
      <c r="C76" t="s">
        <v>16</v>
      </c>
      <c r="D76" t="s">
        <v>169</v>
      </c>
      <c r="F76" t="s">
        <v>91</v>
      </c>
      <c r="M76" s="4">
        <v>10</v>
      </c>
      <c r="N76" s="4">
        <v>2</v>
      </c>
      <c r="O76" s="4">
        <v>0</v>
      </c>
      <c r="P76" s="4">
        <v>7</v>
      </c>
      <c r="Q76" s="4">
        <v>10</v>
      </c>
      <c r="R76" s="4">
        <v>0</v>
      </c>
      <c r="S76" s="4">
        <f t="shared" si="4"/>
        <v>29</v>
      </c>
    </row>
    <row r="77" spans="1:19" x14ac:dyDescent="0.25">
      <c r="A77" s="3" t="s">
        <v>269</v>
      </c>
      <c r="B77" s="7" t="s">
        <v>260</v>
      </c>
      <c r="C77" t="s">
        <v>16</v>
      </c>
      <c r="D77" t="s">
        <v>170</v>
      </c>
      <c r="F77" t="s">
        <v>91</v>
      </c>
      <c r="M77" s="4">
        <v>7</v>
      </c>
      <c r="N77" s="4">
        <v>6</v>
      </c>
      <c r="O77" s="4">
        <v>0</v>
      </c>
      <c r="P77" s="4">
        <v>5</v>
      </c>
      <c r="Q77" s="4">
        <v>10</v>
      </c>
      <c r="R77" s="4">
        <v>0</v>
      </c>
      <c r="S77" s="4">
        <f t="shared" si="4"/>
        <v>28</v>
      </c>
    </row>
    <row r="78" spans="1:19" x14ac:dyDescent="0.25">
      <c r="A78" s="3" t="s">
        <v>269</v>
      </c>
      <c r="B78" s="7" t="s">
        <v>260</v>
      </c>
      <c r="C78" t="s">
        <v>16</v>
      </c>
      <c r="D78" t="s">
        <v>171</v>
      </c>
      <c r="F78" t="s">
        <v>91</v>
      </c>
      <c r="M78" s="4">
        <v>2</v>
      </c>
      <c r="N78" s="4">
        <v>0</v>
      </c>
      <c r="O78" s="4">
        <v>0</v>
      </c>
      <c r="P78" s="4">
        <v>3</v>
      </c>
      <c r="Q78" s="4">
        <v>2</v>
      </c>
      <c r="R78" s="4">
        <v>0</v>
      </c>
      <c r="S78" s="4">
        <f t="shared" si="4"/>
        <v>7</v>
      </c>
    </row>
    <row r="79" spans="1:19" x14ac:dyDescent="0.25">
      <c r="A79" s="3" t="s">
        <v>269</v>
      </c>
      <c r="B79" s="7" t="s">
        <v>261</v>
      </c>
      <c r="C79" t="s">
        <v>16</v>
      </c>
      <c r="D79" t="s">
        <v>172</v>
      </c>
      <c r="F79" t="s">
        <v>91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4">
        <f t="shared" si="4"/>
        <v>1</v>
      </c>
    </row>
    <row r="80" spans="1:19" x14ac:dyDescent="0.25">
      <c r="A80" s="3" t="s">
        <v>269</v>
      </c>
      <c r="B80" s="7" t="s">
        <v>261</v>
      </c>
      <c r="C80" t="s">
        <v>16</v>
      </c>
      <c r="D80" t="s">
        <v>173</v>
      </c>
      <c r="F80" t="s">
        <v>91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0</v>
      </c>
      <c r="S80" s="4">
        <f t="shared" si="4"/>
        <v>1</v>
      </c>
    </row>
    <row r="81" spans="1:19" x14ac:dyDescent="0.25">
      <c r="A81" s="3" t="s">
        <v>269</v>
      </c>
      <c r="B81" s="7" t="s">
        <v>261</v>
      </c>
      <c r="C81" t="s">
        <v>16</v>
      </c>
      <c r="D81" t="s">
        <v>174</v>
      </c>
      <c r="F81" t="s">
        <v>91</v>
      </c>
      <c r="M81" s="4">
        <v>4</v>
      </c>
      <c r="N81" s="4">
        <v>0</v>
      </c>
      <c r="O81" s="4">
        <v>2</v>
      </c>
      <c r="P81" s="4">
        <v>3</v>
      </c>
      <c r="Q81" s="4">
        <v>4</v>
      </c>
      <c r="R81" s="4">
        <v>0</v>
      </c>
      <c r="S81" s="4">
        <f t="shared" si="4"/>
        <v>13</v>
      </c>
    </row>
    <row r="82" spans="1:19" x14ac:dyDescent="0.25">
      <c r="A82" s="3" t="s">
        <v>269</v>
      </c>
      <c r="B82" s="7" t="s">
        <v>261</v>
      </c>
      <c r="C82" t="s">
        <v>16</v>
      </c>
      <c r="D82" t="s">
        <v>175</v>
      </c>
      <c r="F82" t="s">
        <v>91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4">
        <f t="shared" ref="S82:S105" si="5">SUM(G82:R82)</f>
        <v>1</v>
      </c>
    </row>
    <row r="83" spans="1:19" x14ac:dyDescent="0.25">
      <c r="A83" s="3" t="s">
        <v>269</v>
      </c>
      <c r="B83" s="7" t="s">
        <v>261</v>
      </c>
      <c r="C83" t="s">
        <v>16</v>
      </c>
      <c r="D83" t="s">
        <v>176</v>
      </c>
      <c r="F83" t="s">
        <v>91</v>
      </c>
      <c r="M83" s="4">
        <v>10</v>
      </c>
      <c r="N83" s="4">
        <v>0</v>
      </c>
      <c r="O83" s="4">
        <v>4</v>
      </c>
      <c r="P83" s="4">
        <v>14</v>
      </c>
      <c r="Q83" s="4">
        <v>7</v>
      </c>
      <c r="R83" s="4">
        <v>0</v>
      </c>
      <c r="S83" s="4">
        <f t="shared" si="5"/>
        <v>35</v>
      </c>
    </row>
    <row r="84" spans="1:19" x14ac:dyDescent="0.25">
      <c r="A84" s="3" t="s">
        <v>269</v>
      </c>
      <c r="B84" s="7" t="s">
        <v>263</v>
      </c>
      <c r="C84" t="s">
        <v>16</v>
      </c>
      <c r="D84" t="s">
        <v>177</v>
      </c>
      <c r="F84" t="s">
        <v>91</v>
      </c>
      <c r="M84" s="4">
        <v>7</v>
      </c>
      <c r="N84" s="4">
        <v>0</v>
      </c>
      <c r="O84" s="4">
        <v>0</v>
      </c>
      <c r="P84" s="4">
        <v>3</v>
      </c>
      <c r="Q84" s="4">
        <v>3</v>
      </c>
      <c r="R84" s="4">
        <v>0</v>
      </c>
      <c r="S84" s="4">
        <f t="shared" si="5"/>
        <v>13</v>
      </c>
    </row>
    <row r="85" spans="1:19" x14ac:dyDescent="0.25">
      <c r="A85" s="3" t="s">
        <v>269</v>
      </c>
      <c r="B85" s="7" t="s">
        <v>263</v>
      </c>
      <c r="C85" t="s">
        <v>16</v>
      </c>
      <c r="D85" t="s">
        <v>178</v>
      </c>
      <c r="F85" t="s">
        <v>91</v>
      </c>
      <c r="M85" s="4">
        <v>0</v>
      </c>
      <c r="N85" s="4">
        <v>0</v>
      </c>
      <c r="O85" s="4">
        <v>0</v>
      </c>
      <c r="P85" s="4">
        <v>1</v>
      </c>
      <c r="Q85" s="4">
        <v>1</v>
      </c>
      <c r="R85" s="4">
        <v>0</v>
      </c>
      <c r="S85" s="4">
        <f t="shared" si="5"/>
        <v>2</v>
      </c>
    </row>
    <row r="86" spans="1:19" x14ac:dyDescent="0.25">
      <c r="A86" s="3" t="s">
        <v>269</v>
      </c>
      <c r="B86" s="7" t="s">
        <v>263</v>
      </c>
      <c r="C86" t="s">
        <v>16</v>
      </c>
      <c r="D86" t="s">
        <v>179</v>
      </c>
      <c r="F86" t="s">
        <v>91</v>
      </c>
      <c r="M86" s="4">
        <v>2</v>
      </c>
      <c r="N86" s="4">
        <v>0</v>
      </c>
      <c r="O86" s="4">
        <v>0</v>
      </c>
      <c r="P86" s="4">
        <v>1</v>
      </c>
      <c r="Q86" s="4">
        <v>0</v>
      </c>
      <c r="R86" s="4">
        <v>0</v>
      </c>
      <c r="S86" s="4">
        <f t="shared" si="5"/>
        <v>3</v>
      </c>
    </row>
    <row r="87" spans="1:19" x14ac:dyDescent="0.25">
      <c r="A87" s="3" t="s">
        <v>269</v>
      </c>
      <c r="B87" s="7" t="s">
        <v>263</v>
      </c>
      <c r="C87" t="s">
        <v>16</v>
      </c>
      <c r="D87" t="s">
        <v>180</v>
      </c>
      <c r="F87" t="s">
        <v>91</v>
      </c>
      <c r="M87" s="4">
        <v>4</v>
      </c>
      <c r="N87" s="4">
        <v>3</v>
      </c>
      <c r="O87" s="4">
        <v>0</v>
      </c>
      <c r="P87" s="4">
        <v>2</v>
      </c>
      <c r="Q87" s="4">
        <v>2</v>
      </c>
      <c r="R87" s="4">
        <v>0</v>
      </c>
      <c r="S87" s="4">
        <f t="shared" si="5"/>
        <v>11</v>
      </c>
    </row>
    <row r="88" spans="1:19" x14ac:dyDescent="0.25">
      <c r="A88" s="3" t="s">
        <v>269</v>
      </c>
      <c r="B88" s="7" t="s">
        <v>263</v>
      </c>
      <c r="C88" t="s">
        <v>16</v>
      </c>
      <c r="D88" t="s">
        <v>181</v>
      </c>
      <c r="F88" t="s">
        <v>91</v>
      </c>
      <c r="M88" s="4">
        <v>3</v>
      </c>
      <c r="N88" s="4">
        <v>3</v>
      </c>
      <c r="O88" s="4">
        <v>0</v>
      </c>
      <c r="P88" s="4">
        <v>3</v>
      </c>
      <c r="Q88" s="4">
        <v>2</v>
      </c>
      <c r="R88" s="4">
        <v>0</v>
      </c>
      <c r="S88" s="4">
        <f t="shared" si="5"/>
        <v>11</v>
      </c>
    </row>
    <row r="89" spans="1:19" x14ac:dyDescent="0.25">
      <c r="A89" s="3" t="s">
        <v>269</v>
      </c>
      <c r="B89" s="7" t="s">
        <v>263</v>
      </c>
      <c r="C89" t="s">
        <v>16</v>
      </c>
      <c r="D89" t="s">
        <v>182</v>
      </c>
      <c r="F89" t="s">
        <v>91</v>
      </c>
      <c r="M89" s="4">
        <v>3</v>
      </c>
      <c r="N89" s="4">
        <v>1</v>
      </c>
      <c r="O89" s="4">
        <v>0</v>
      </c>
      <c r="P89" s="4">
        <v>3</v>
      </c>
      <c r="Q89" s="4">
        <v>4</v>
      </c>
      <c r="R89" s="4">
        <v>0</v>
      </c>
      <c r="S89" s="4">
        <f t="shared" si="5"/>
        <v>11</v>
      </c>
    </row>
    <row r="90" spans="1:19" x14ac:dyDescent="0.25">
      <c r="A90" s="3" t="s">
        <v>269</v>
      </c>
      <c r="B90" s="7" t="s">
        <v>264</v>
      </c>
      <c r="C90" t="s">
        <v>16</v>
      </c>
      <c r="D90" t="s">
        <v>183</v>
      </c>
      <c r="F90" t="s">
        <v>91</v>
      </c>
      <c r="M90" s="4">
        <v>0</v>
      </c>
      <c r="N90" s="4">
        <v>0</v>
      </c>
      <c r="O90" s="4">
        <v>6</v>
      </c>
      <c r="P90" s="4">
        <v>0</v>
      </c>
      <c r="Q90" s="4">
        <v>0</v>
      </c>
      <c r="R90" s="4">
        <v>0</v>
      </c>
      <c r="S90" s="4">
        <f t="shared" si="5"/>
        <v>6</v>
      </c>
    </row>
    <row r="91" spans="1:19" x14ac:dyDescent="0.25">
      <c r="A91" s="3" t="s">
        <v>269</v>
      </c>
      <c r="B91" s="7" t="s">
        <v>264</v>
      </c>
      <c r="C91" t="s">
        <v>16</v>
      </c>
      <c r="D91" t="s">
        <v>184</v>
      </c>
      <c r="F91" t="s">
        <v>91</v>
      </c>
      <c r="M91" s="4">
        <v>0</v>
      </c>
      <c r="N91" s="4">
        <v>0</v>
      </c>
      <c r="O91" s="4">
        <v>3</v>
      </c>
      <c r="P91" s="4">
        <v>0</v>
      </c>
      <c r="Q91" s="4">
        <v>0</v>
      </c>
      <c r="R91" s="4">
        <v>0</v>
      </c>
      <c r="S91" s="4">
        <f t="shared" si="5"/>
        <v>3</v>
      </c>
    </row>
    <row r="92" spans="1:19" x14ac:dyDescent="0.25">
      <c r="A92" s="3" t="s">
        <v>269</v>
      </c>
      <c r="B92" s="7" t="s">
        <v>264</v>
      </c>
      <c r="C92" t="s">
        <v>16</v>
      </c>
      <c r="D92" t="s">
        <v>185</v>
      </c>
      <c r="F92" t="s">
        <v>91</v>
      </c>
      <c r="M92" s="4">
        <v>27</v>
      </c>
      <c r="N92" s="4">
        <v>0</v>
      </c>
      <c r="O92" s="4">
        <v>9</v>
      </c>
      <c r="P92" s="4">
        <v>12</v>
      </c>
      <c r="Q92" s="4">
        <v>16</v>
      </c>
      <c r="R92" s="4">
        <v>0</v>
      </c>
      <c r="S92" s="4">
        <f t="shared" si="5"/>
        <v>64</v>
      </c>
    </row>
    <row r="93" spans="1:19" x14ac:dyDescent="0.25">
      <c r="A93" s="3" t="s">
        <v>269</v>
      </c>
      <c r="B93" s="7" t="s">
        <v>264</v>
      </c>
      <c r="C93" t="s">
        <v>16</v>
      </c>
      <c r="D93" t="s">
        <v>186</v>
      </c>
      <c r="F93" t="s">
        <v>91</v>
      </c>
      <c r="M93" s="4">
        <v>43</v>
      </c>
      <c r="N93" s="4">
        <v>26</v>
      </c>
      <c r="O93" s="4">
        <v>45</v>
      </c>
      <c r="P93" s="4">
        <v>42</v>
      </c>
      <c r="Q93" s="4">
        <v>12</v>
      </c>
      <c r="R93" s="4">
        <v>0</v>
      </c>
      <c r="S93" s="4">
        <f t="shared" si="5"/>
        <v>168</v>
      </c>
    </row>
    <row r="94" spans="1:19" x14ac:dyDescent="0.25">
      <c r="A94" s="3" t="s">
        <v>269</v>
      </c>
      <c r="B94" s="7" t="s">
        <v>264</v>
      </c>
      <c r="C94" t="s">
        <v>16</v>
      </c>
      <c r="D94" t="s">
        <v>187</v>
      </c>
      <c r="F94" t="s">
        <v>91</v>
      </c>
      <c r="M94" s="4">
        <v>0</v>
      </c>
      <c r="N94" s="4">
        <v>2</v>
      </c>
      <c r="O94" s="4">
        <v>6</v>
      </c>
      <c r="P94" s="4">
        <v>0</v>
      </c>
      <c r="Q94" s="4">
        <v>0</v>
      </c>
      <c r="R94" s="4">
        <v>0</v>
      </c>
      <c r="S94" s="4">
        <f t="shared" si="5"/>
        <v>8</v>
      </c>
    </row>
    <row r="95" spans="1:19" x14ac:dyDescent="0.25">
      <c r="A95" s="3" t="s">
        <v>269</v>
      </c>
      <c r="B95" s="7" t="s">
        <v>264</v>
      </c>
      <c r="C95" t="s">
        <v>16</v>
      </c>
      <c r="D95" t="s">
        <v>188</v>
      </c>
      <c r="F95" t="s">
        <v>91</v>
      </c>
      <c r="M95" s="4">
        <v>0</v>
      </c>
      <c r="N95" s="4">
        <v>0</v>
      </c>
      <c r="O95" s="4">
        <v>1</v>
      </c>
      <c r="P95" s="4">
        <v>0</v>
      </c>
      <c r="Q95" s="4">
        <v>0</v>
      </c>
      <c r="R95" s="4">
        <v>0</v>
      </c>
      <c r="S95" s="4">
        <f t="shared" si="5"/>
        <v>1</v>
      </c>
    </row>
    <row r="96" spans="1:19" x14ac:dyDescent="0.25">
      <c r="A96" s="3" t="s">
        <v>269</v>
      </c>
      <c r="B96" s="7" t="s">
        <v>264</v>
      </c>
      <c r="C96" t="s">
        <v>16</v>
      </c>
      <c r="D96" t="s">
        <v>189</v>
      </c>
      <c r="F96" t="s">
        <v>91</v>
      </c>
      <c r="M96" s="4">
        <v>5</v>
      </c>
      <c r="N96" s="4">
        <v>21</v>
      </c>
      <c r="O96" s="4">
        <v>23</v>
      </c>
      <c r="P96" s="4">
        <v>24</v>
      </c>
      <c r="Q96" s="4">
        <v>30</v>
      </c>
      <c r="R96" s="4">
        <v>0</v>
      </c>
      <c r="S96" s="4">
        <f t="shared" si="5"/>
        <v>103</v>
      </c>
    </row>
    <row r="97" spans="1:19" x14ac:dyDescent="0.25">
      <c r="A97" s="3" t="s">
        <v>269</v>
      </c>
      <c r="B97" s="7" t="s">
        <v>264</v>
      </c>
      <c r="C97" t="s">
        <v>16</v>
      </c>
      <c r="D97" t="s">
        <v>190</v>
      </c>
      <c r="F97" t="s">
        <v>91</v>
      </c>
      <c r="M97" s="4">
        <v>32</v>
      </c>
      <c r="N97" s="4">
        <v>60</v>
      </c>
      <c r="O97" s="4">
        <v>93</v>
      </c>
      <c r="P97" s="4">
        <v>62</v>
      </c>
      <c r="Q97" s="4">
        <v>47</v>
      </c>
      <c r="R97" s="4">
        <v>0</v>
      </c>
      <c r="S97" s="4">
        <f t="shared" si="5"/>
        <v>294</v>
      </c>
    </row>
    <row r="98" spans="1:19" x14ac:dyDescent="0.25">
      <c r="A98" s="3" t="s">
        <v>269</v>
      </c>
      <c r="B98" s="7" t="s">
        <v>264</v>
      </c>
      <c r="C98" t="s">
        <v>16</v>
      </c>
      <c r="D98" t="s">
        <v>191</v>
      </c>
      <c r="F98" t="s">
        <v>91</v>
      </c>
      <c r="M98" s="4">
        <v>0</v>
      </c>
      <c r="N98" s="4">
        <v>0</v>
      </c>
      <c r="O98" s="4">
        <v>12</v>
      </c>
      <c r="P98" s="4">
        <v>0</v>
      </c>
      <c r="Q98" s="4">
        <v>0</v>
      </c>
      <c r="R98" s="4">
        <v>0</v>
      </c>
      <c r="S98" s="4">
        <f t="shared" si="5"/>
        <v>12</v>
      </c>
    </row>
    <row r="99" spans="1:19" x14ac:dyDescent="0.25">
      <c r="A99" s="3" t="s">
        <v>269</v>
      </c>
      <c r="B99" s="7" t="s">
        <v>264</v>
      </c>
      <c r="C99" t="s">
        <v>16</v>
      </c>
      <c r="D99" t="s">
        <v>192</v>
      </c>
      <c r="F99" t="s">
        <v>91</v>
      </c>
      <c r="M99" s="4">
        <v>0</v>
      </c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4">
        <f t="shared" si="5"/>
        <v>1</v>
      </c>
    </row>
    <row r="100" spans="1:19" x14ac:dyDescent="0.25">
      <c r="A100" s="3" t="s">
        <v>269</v>
      </c>
      <c r="B100" s="7" t="s">
        <v>264</v>
      </c>
      <c r="C100" t="s">
        <v>16</v>
      </c>
      <c r="D100" t="s">
        <v>193</v>
      </c>
      <c r="F100" t="s">
        <v>91</v>
      </c>
      <c r="M100" s="4">
        <v>4</v>
      </c>
      <c r="N100" s="4">
        <v>0</v>
      </c>
      <c r="O100" s="4">
        <v>0</v>
      </c>
      <c r="P100" s="4">
        <v>0</v>
      </c>
      <c r="Q100" s="4">
        <v>10</v>
      </c>
      <c r="R100" s="4">
        <v>0</v>
      </c>
      <c r="S100" s="4">
        <f t="shared" si="5"/>
        <v>14</v>
      </c>
    </row>
    <row r="101" spans="1:19" x14ac:dyDescent="0.25">
      <c r="A101" s="3" t="s">
        <v>269</v>
      </c>
      <c r="B101" s="7" t="s">
        <v>264</v>
      </c>
      <c r="C101" t="s">
        <v>16</v>
      </c>
      <c r="D101" t="s">
        <v>194</v>
      </c>
      <c r="F101" t="s">
        <v>91</v>
      </c>
      <c r="M101" s="4">
        <v>2</v>
      </c>
      <c r="N101" s="4">
        <v>7</v>
      </c>
      <c r="O101" s="4">
        <v>2</v>
      </c>
      <c r="P101" s="4">
        <v>4</v>
      </c>
      <c r="Q101" s="4">
        <v>8</v>
      </c>
      <c r="R101" s="4">
        <v>0</v>
      </c>
      <c r="S101" s="4">
        <f t="shared" si="5"/>
        <v>23</v>
      </c>
    </row>
    <row r="102" spans="1:19" x14ac:dyDescent="0.25">
      <c r="A102" s="3" t="s">
        <v>269</v>
      </c>
      <c r="B102" s="7" t="s">
        <v>264</v>
      </c>
      <c r="C102" t="s">
        <v>16</v>
      </c>
      <c r="D102" t="s">
        <v>195</v>
      </c>
      <c r="F102" t="s">
        <v>91</v>
      </c>
      <c r="M102" s="4">
        <v>0</v>
      </c>
      <c r="N102" s="4">
        <v>3</v>
      </c>
      <c r="O102" s="4">
        <v>0</v>
      </c>
      <c r="P102" s="4">
        <v>4</v>
      </c>
      <c r="Q102" s="4">
        <v>8</v>
      </c>
      <c r="R102" s="4">
        <v>0</v>
      </c>
      <c r="S102" s="4">
        <f t="shared" si="5"/>
        <v>15</v>
      </c>
    </row>
    <row r="103" spans="1:19" x14ac:dyDescent="0.25">
      <c r="A103" s="3" t="s">
        <v>269</v>
      </c>
      <c r="B103" s="7" t="s">
        <v>264</v>
      </c>
      <c r="C103" t="s">
        <v>16</v>
      </c>
      <c r="D103" t="s">
        <v>196</v>
      </c>
      <c r="F103" t="s">
        <v>91</v>
      </c>
      <c r="M103" s="4">
        <v>1</v>
      </c>
      <c r="N103" s="4">
        <v>3</v>
      </c>
      <c r="O103" s="4">
        <v>0</v>
      </c>
      <c r="P103" s="4">
        <v>4</v>
      </c>
      <c r="Q103" s="4">
        <v>8</v>
      </c>
      <c r="R103" s="4">
        <v>0</v>
      </c>
      <c r="S103" s="4">
        <f t="shared" si="5"/>
        <v>16</v>
      </c>
    </row>
    <row r="104" spans="1:19" x14ac:dyDescent="0.25">
      <c r="A104" s="3" t="s">
        <v>269</v>
      </c>
      <c r="B104" s="7" t="s">
        <v>264</v>
      </c>
      <c r="C104" t="s">
        <v>16</v>
      </c>
      <c r="D104" t="s">
        <v>197</v>
      </c>
      <c r="F104" t="s">
        <v>91</v>
      </c>
      <c r="M104" s="4">
        <v>10</v>
      </c>
      <c r="N104" s="4">
        <v>14</v>
      </c>
      <c r="O104" s="4">
        <v>0</v>
      </c>
      <c r="P104" s="4">
        <v>10</v>
      </c>
      <c r="Q104" s="4">
        <v>16</v>
      </c>
      <c r="R104" s="4">
        <v>0</v>
      </c>
      <c r="S104" s="4">
        <f t="shared" si="5"/>
        <v>50</v>
      </c>
    </row>
    <row r="105" spans="1:19" x14ac:dyDescent="0.25">
      <c r="A105" s="3" t="s">
        <v>269</v>
      </c>
      <c r="B105" s="7" t="s">
        <v>264</v>
      </c>
      <c r="C105" t="s">
        <v>16</v>
      </c>
      <c r="D105" t="s">
        <v>198</v>
      </c>
      <c r="F105" t="s">
        <v>91</v>
      </c>
      <c r="M105" s="4">
        <v>1</v>
      </c>
      <c r="N105" s="4">
        <v>0</v>
      </c>
      <c r="O105" s="4">
        <v>0</v>
      </c>
      <c r="P105" s="4">
        <v>0</v>
      </c>
      <c r="Q105" s="4">
        <v>8</v>
      </c>
      <c r="R105" s="4">
        <v>0</v>
      </c>
      <c r="S105" s="4">
        <f t="shared" si="5"/>
        <v>9</v>
      </c>
    </row>
    <row r="106" spans="1:19" x14ac:dyDescent="0.25">
      <c r="A106" s="3" t="s">
        <v>269</v>
      </c>
      <c r="B106" s="7" t="s">
        <v>264</v>
      </c>
      <c r="C106" t="s">
        <v>16</v>
      </c>
      <c r="D106" t="s">
        <v>199</v>
      </c>
      <c r="F106" t="s">
        <v>91</v>
      </c>
      <c r="M106" s="4">
        <v>0</v>
      </c>
      <c r="N106" s="4">
        <v>0</v>
      </c>
      <c r="O106" s="4">
        <v>2</v>
      </c>
      <c r="P106" s="4">
        <v>0</v>
      </c>
      <c r="Q106" s="4">
        <v>0</v>
      </c>
      <c r="R106" s="4">
        <v>0</v>
      </c>
      <c r="S106" s="4">
        <f t="shared" ref="S106:S114" si="6">SUM(G106:R106)</f>
        <v>2</v>
      </c>
    </row>
    <row r="107" spans="1:19" x14ac:dyDescent="0.25">
      <c r="A107" s="3" t="s">
        <v>269</v>
      </c>
      <c r="B107" s="7" t="s">
        <v>264</v>
      </c>
      <c r="C107" t="s">
        <v>16</v>
      </c>
      <c r="D107" t="s">
        <v>200</v>
      </c>
      <c r="F107" t="s">
        <v>91</v>
      </c>
      <c r="M107" s="4">
        <v>0</v>
      </c>
      <c r="N107" s="4">
        <v>0</v>
      </c>
      <c r="O107" s="4">
        <v>0</v>
      </c>
      <c r="P107" s="4">
        <v>7</v>
      </c>
      <c r="Q107" s="4">
        <v>6</v>
      </c>
      <c r="R107" s="4">
        <v>0</v>
      </c>
      <c r="S107" s="4">
        <f t="shared" si="6"/>
        <v>13</v>
      </c>
    </row>
    <row r="108" spans="1:19" x14ac:dyDescent="0.25">
      <c r="A108" s="3" t="s">
        <v>269</v>
      </c>
      <c r="B108" s="7" t="s">
        <v>264</v>
      </c>
      <c r="C108" t="s">
        <v>16</v>
      </c>
      <c r="D108" t="s">
        <v>201</v>
      </c>
      <c r="F108" t="s">
        <v>91</v>
      </c>
      <c r="M108" s="4">
        <v>0</v>
      </c>
      <c r="N108" s="4">
        <v>0</v>
      </c>
      <c r="O108" s="4">
        <v>5</v>
      </c>
      <c r="P108" s="4">
        <v>0</v>
      </c>
      <c r="Q108" s="4">
        <v>0</v>
      </c>
      <c r="R108" s="4">
        <v>0</v>
      </c>
      <c r="S108" s="4">
        <f t="shared" si="6"/>
        <v>5</v>
      </c>
    </row>
    <row r="109" spans="1:19" x14ac:dyDescent="0.25">
      <c r="A109" s="3" t="s">
        <v>269</v>
      </c>
      <c r="B109" s="7" t="s">
        <v>265</v>
      </c>
      <c r="C109" t="s">
        <v>16</v>
      </c>
      <c r="D109" t="s">
        <v>202</v>
      </c>
      <c r="F109" t="s">
        <v>91</v>
      </c>
      <c r="M109" s="4">
        <v>0</v>
      </c>
      <c r="N109" s="4">
        <v>0</v>
      </c>
      <c r="O109" s="4">
        <v>5</v>
      </c>
      <c r="P109" s="4">
        <v>0</v>
      </c>
      <c r="Q109" s="4">
        <v>0</v>
      </c>
      <c r="R109" s="4">
        <v>0</v>
      </c>
      <c r="S109" s="4">
        <f t="shared" si="6"/>
        <v>5</v>
      </c>
    </row>
    <row r="110" spans="1:19" x14ac:dyDescent="0.25">
      <c r="A110" s="3" t="s">
        <v>269</v>
      </c>
      <c r="B110" s="7" t="s">
        <v>265</v>
      </c>
      <c r="C110" t="s">
        <v>16</v>
      </c>
      <c r="D110" t="s">
        <v>203</v>
      </c>
      <c r="F110" t="s">
        <v>91</v>
      </c>
      <c r="M110" s="4">
        <v>7</v>
      </c>
      <c r="N110" s="4">
        <v>12</v>
      </c>
      <c r="O110" s="4">
        <v>0</v>
      </c>
      <c r="P110" s="4">
        <v>16</v>
      </c>
      <c r="Q110" s="4">
        <v>5</v>
      </c>
      <c r="R110" s="4">
        <v>0</v>
      </c>
      <c r="S110" s="4">
        <f t="shared" si="6"/>
        <v>40</v>
      </c>
    </row>
    <row r="111" spans="1:19" x14ac:dyDescent="0.25">
      <c r="A111" s="3" t="s">
        <v>269</v>
      </c>
      <c r="B111" s="7" t="s">
        <v>265</v>
      </c>
      <c r="C111" t="s">
        <v>16</v>
      </c>
      <c r="D111" t="s">
        <v>204</v>
      </c>
      <c r="F111" t="s">
        <v>91</v>
      </c>
      <c r="M111" s="4">
        <v>60</v>
      </c>
      <c r="N111" s="4">
        <v>63</v>
      </c>
      <c r="O111" s="4">
        <v>0</v>
      </c>
      <c r="P111" s="4">
        <v>57</v>
      </c>
      <c r="Q111" s="4">
        <v>8</v>
      </c>
      <c r="R111" s="4">
        <v>0</v>
      </c>
      <c r="S111" s="4">
        <f t="shared" si="6"/>
        <v>188</v>
      </c>
    </row>
    <row r="112" spans="1:19" x14ac:dyDescent="0.25">
      <c r="A112" s="3" t="s">
        <v>269</v>
      </c>
      <c r="B112" s="7" t="s">
        <v>265</v>
      </c>
      <c r="C112" t="s">
        <v>16</v>
      </c>
      <c r="D112" t="s">
        <v>205</v>
      </c>
      <c r="F112" t="s">
        <v>91</v>
      </c>
      <c r="M112" s="4">
        <v>14</v>
      </c>
      <c r="N112" s="4">
        <v>12</v>
      </c>
      <c r="O112" s="4">
        <v>7</v>
      </c>
      <c r="P112" s="4">
        <v>12</v>
      </c>
      <c r="Q112" s="4">
        <v>10</v>
      </c>
      <c r="R112" s="4">
        <v>0</v>
      </c>
      <c r="S112" s="4">
        <f t="shared" si="6"/>
        <v>55</v>
      </c>
    </row>
    <row r="113" spans="1:19" x14ac:dyDescent="0.25">
      <c r="A113" s="3" t="s">
        <v>269</v>
      </c>
      <c r="B113" s="7" t="s">
        <v>265</v>
      </c>
      <c r="C113" t="s">
        <v>16</v>
      </c>
      <c r="D113" t="s">
        <v>206</v>
      </c>
      <c r="F113" t="s">
        <v>91</v>
      </c>
      <c r="M113" s="4">
        <v>0</v>
      </c>
      <c r="N113" s="4">
        <v>0</v>
      </c>
      <c r="O113" s="4">
        <v>0</v>
      </c>
      <c r="P113" s="4">
        <v>0</v>
      </c>
      <c r="Q113" s="4">
        <v>100</v>
      </c>
      <c r="R113" s="4">
        <v>0</v>
      </c>
      <c r="S113" s="4">
        <f t="shared" si="6"/>
        <v>100</v>
      </c>
    </row>
    <row r="114" spans="1:19" x14ac:dyDescent="0.25">
      <c r="A114" s="3" t="s">
        <v>269</v>
      </c>
      <c r="B114" s="7" t="s">
        <v>265</v>
      </c>
      <c r="C114" t="s">
        <v>16</v>
      </c>
      <c r="D114" t="s">
        <v>207</v>
      </c>
      <c r="F114" t="s">
        <v>93</v>
      </c>
      <c r="M114" s="4">
        <v>2</v>
      </c>
      <c r="N114" s="4">
        <v>15</v>
      </c>
      <c r="O114" s="4">
        <v>0</v>
      </c>
      <c r="P114" s="4">
        <v>5</v>
      </c>
      <c r="Q114" s="4">
        <v>1</v>
      </c>
      <c r="R114" s="4">
        <v>0</v>
      </c>
      <c r="S114" s="4">
        <f t="shared" si="6"/>
        <v>23</v>
      </c>
    </row>
    <row r="115" spans="1:19" x14ac:dyDescent="0.25">
      <c r="A115" s="3" t="s">
        <v>269</v>
      </c>
      <c r="B115" s="7" t="s">
        <v>260</v>
      </c>
      <c r="C115" t="s">
        <v>16</v>
      </c>
      <c r="D115" t="s">
        <v>208</v>
      </c>
      <c r="F115" t="s">
        <v>91</v>
      </c>
      <c r="M115" s="4">
        <v>1</v>
      </c>
      <c r="N115" s="4">
        <v>2</v>
      </c>
      <c r="O115" s="4">
        <v>0</v>
      </c>
      <c r="P115" s="4">
        <v>0</v>
      </c>
      <c r="Q115" s="4">
        <v>0</v>
      </c>
      <c r="R115" s="4">
        <v>0</v>
      </c>
      <c r="S115" s="4">
        <f t="shared" ref="S115:S127" si="7">SUM(G115:R115)</f>
        <v>3</v>
      </c>
    </row>
    <row r="116" spans="1:19" x14ac:dyDescent="0.25">
      <c r="A116" s="3" t="s">
        <v>269</v>
      </c>
      <c r="B116" s="7" t="s">
        <v>262</v>
      </c>
      <c r="C116" t="s">
        <v>16</v>
      </c>
      <c r="D116" t="s">
        <v>209</v>
      </c>
      <c r="F116" t="s">
        <v>91</v>
      </c>
      <c r="M116" s="4">
        <v>5</v>
      </c>
      <c r="N116" s="4">
        <v>11</v>
      </c>
      <c r="O116" s="4">
        <v>2</v>
      </c>
      <c r="P116" s="4">
        <v>8</v>
      </c>
      <c r="Q116" s="4">
        <v>2</v>
      </c>
      <c r="R116" s="4">
        <v>0</v>
      </c>
      <c r="S116" s="4">
        <f t="shared" si="7"/>
        <v>28</v>
      </c>
    </row>
    <row r="117" spans="1:19" x14ac:dyDescent="0.25">
      <c r="A117" s="3" t="s">
        <v>269</v>
      </c>
      <c r="B117" s="7" t="s">
        <v>262</v>
      </c>
      <c r="C117" t="s">
        <v>16</v>
      </c>
      <c r="D117" t="s">
        <v>210</v>
      </c>
      <c r="F117" t="s">
        <v>91</v>
      </c>
      <c r="M117" s="4">
        <v>12</v>
      </c>
      <c r="N117" s="4">
        <v>8</v>
      </c>
      <c r="O117" s="4">
        <v>1</v>
      </c>
      <c r="P117" s="4">
        <v>8</v>
      </c>
      <c r="Q117" s="4">
        <v>5</v>
      </c>
      <c r="R117" s="4">
        <v>0</v>
      </c>
      <c r="S117" s="4">
        <f t="shared" si="7"/>
        <v>34</v>
      </c>
    </row>
    <row r="118" spans="1:19" x14ac:dyDescent="0.25">
      <c r="A118" s="3" t="s">
        <v>269</v>
      </c>
      <c r="B118" s="7" t="s">
        <v>262</v>
      </c>
      <c r="C118" t="s">
        <v>16</v>
      </c>
      <c r="D118" t="s">
        <v>211</v>
      </c>
      <c r="F118" t="s">
        <v>91</v>
      </c>
      <c r="M118" s="4">
        <v>11</v>
      </c>
      <c r="N118" s="4">
        <v>7</v>
      </c>
      <c r="O118" s="4">
        <v>9</v>
      </c>
      <c r="P118" s="4">
        <v>19</v>
      </c>
      <c r="Q118" s="4">
        <v>13</v>
      </c>
      <c r="R118" s="4">
        <v>0</v>
      </c>
      <c r="S118" s="4">
        <f t="shared" si="7"/>
        <v>59</v>
      </c>
    </row>
    <row r="119" spans="1:19" x14ac:dyDescent="0.25">
      <c r="A119" s="3" t="s">
        <v>269</v>
      </c>
      <c r="B119" s="7" t="s">
        <v>257</v>
      </c>
      <c r="C119" t="s">
        <v>16</v>
      </c>
      <c r="D119" t="s">
        <v>212</v>
      </c>
      <c r="F119" t="s">
        <v>91</v>
      </c>
      <c r="M119" s="4">
        <v>14</v>
      </c>
      <c r="N119" s="4">
        <v>0</v>
      </c>
      <c r="O119" s="4">
        <v>2</v>
      </c>
      <c r="P119" s="4">
        <v>1</v>
      </c>
      <c r="Q119" s="4">
        <v>2</v>
      </c>
      <c r="R119" s="4">
        <v>0</v>
      </c>
      <c r="S119" s="4">
        <f t="shared" si="7"/>
        <v>19</v>
      </c>
    </row>
    <row r="120" spans="1:19" x14ac:dyDescent="0.25">
      <c r="A120" s="3" t="s">
        <v>269</v>
      </c>
      <c r="B120" s="7" t="s">
        <v>257</v>
      </c>
      <c r="C120" t="s">
        <v>16</v>
      </c>
      <c r="D120" t="s">
        <v>213</v>
      </c>
      <c r="F120" t="s">
        <v>91</v>
      </c>
      <c r="M120" s="4">
        <v>9</v>
      </c>
      <c r="N120" s="4">
        <v>11</v>
      </c>
      <c r="O120" s="4">
        <v>1</v>
      </c>
      <c r="P120" s="4">
        <v>9</v>
      </c>
      <c r="Q120" s="4">
        <v>2</v>
      </c>
      <c r="R120" s="4">
        <v>0</v>
      </c>
      <c r="S120" s="4">
        <f t="shared" si="7"/>
        <v>32</v>
      </c>
    </row>
    <row r="121" spans="1:19" x14ac:dyDescent="0.25">
      <c r="A121" s="3" t="s">
        <v>269</v>
      </c>
      <c r="B121" s="7" t="s">
        <v>257</v>
      </c>
      <c r="C121" t="s">
        <v>16</v>
      </c>
      <c r="D121" t="s">
        <v>214</v>
      </c>
      <c r="F121" t="s">
        <v>91</v>
      </c>
      <c r="M121" s="4">
        <v>11</v>
      </c>
      <c r="N121" s="4">
        <v>3</v>
      </c>
      <c r="O121" s="4">
        <v>2</v>
      </c>
      <c r="P121" s="4">
        <v>2</v>
      </c>
      <c r="Q121" s="4">
        <v>1</v>
      </c>
      <c r="R121" s="4">
        <v>0</v>
      </c>
      <c r="S121" s="4">
        <f t="shared" si="7"/>
        <v>19</v>
      </c>
    </row>
    <row r="122" spans="1:19" x14ac:dyDescent="0.25">
      <c r="A122" s="3" t="s">
        <v>269</v>
      </c>
      <c r="B122" s="7" t="s">
        <v>257</v>
      </c>
      <c r="C122" t="s">
        <v>16</v>
      </c>
      <c r="D122" t="s">
        <v>215</v>
      </c>
      <c r="F122" t="s">
        <v>91</v>
      </c>
      <c r="M122" s="4">
        <v>2</v>
      </c>
      <c r="N122" s="4">
        <v>1</v>
      </c>
      <c r="O122" s="4">
        <v>0</v>
      </c>
      <c r="P122" s="4">
        <v>1</v>
      </c>
      <c r="Q122" s="4">
        <v>1</v>
      </c>
      <c r="R122" s="4">
        <v>0</v>
      </c>
      <c r="S122" s="4">
        <f t="shared" si="7"/>
        <v>5</v>
      </c>
    </row>
    <row r="123" spans="1:19" x14ac:dyDescent="0.25">
      <c r="A123" s="3" t="s">
        <v>269</v>
      </c>
      <c r="B123" s="7" t="s">
        <v>257</v>
      </c>
      <c r="C123" t="s">
        <v>16</v>
      </c>
      <c r="D123" t="s">
        <v>216</v>
      </c>
      <c r="F123" t="s">
        <v>91</v>
      </c>
      <c r="M123" s="4">
        <v>7</v>
      </c>
      <c r="N123" s="4">
        <v>7</v>
      </c>
      <c r="O123" s="4">
        <v>3</v>
      </c>
      <c r="P123" s="4">
        <v>4</v>
      </c>
      <c r="Q123" s="4">
        <v>2</v>
      </c>
      <c r="R123" s="4">
        <v>0</v>
      </c>
      <c r="S123" s="4">
        <f t="shared" si="7"/>
        <v>23</v>
      </c>
    </row>
    <row r="124" spans="1:19" x14ac:dyDescent="0.25">
      <c r="A124" s="3" t="s">
        <v>269</v>
      </c>
      <c r="B124" s="7" t="s">
        <v>265</v>
      </c>
      <c r="C124" t="s">
        <v>16</v>
      </c>
      <c r="D124" t="s">
        <v>217</v>
      </c>
      <c r="F124" t="s">
        <v>93</v>
      </c>
      <c r="M124" s="4">
        <v>5</v>
      </c>
      <c r="N124" s="4">
        <v>0</v>
      </c>
      <c r="O124" s="4">
        <v>1</v>
      </c>
      <c r="P124" s="4">
        <v>3</v>
      </c>
      <c r="Q124" s="4">
        <v>1</v>
      </c>
      <c r="R124" s="4">
        <v>0</v>
      </c>
      <c r="S124" s="4">
        <f t="shared" si="7"/>
        <v>10</v>
      </c>
    </row>
    <row r="125" spans="1:19" x14ac:dyDescent="0.25">
      <c r="A125" s="3" t="s">
        <v>269</v>
      </c>
      <c r="B125" s="7" t="s">
        <v>257</v>
      </c>
      <c r="C125" t="s">
        <v>16</v>
      </c>
      <c r="D125" t="s">
        <v>218</v>
      </c>
      <c r="F125" t="s">
        <v>91</v>
      </c>
      <c r="M125" s="4">
        <v>3</v>
      </c>
      <c r="N125" s="4">
        <v>3</v>
      </c>
      <c r="O125" s="4">
        <v>0</v>
      </c>
      <c r="P125" s="4">
        <v>1</v>
      </c>
      <c r="Q125" s="4">
        <v>1</v>
      </c>
      <c r="R125" s="4">
        <v>0</v>
      </c>
      <c r="S125" s="4">
        <f t="shared" si="7"/>
        <v>8</v>
      </c>
    </row>
    <row r="126" spans="1:19" x14ac:dyDescent="0.25">
      <c r="A126" s="3" t="s">
        <v>269</v>
      </c>
      <c r="B126" s="7" t="s">
        <v>257</v>
      </c>
      <c r="C126" t="s">
        <v>16</v>
      </c>
      <c r="D126" t="s">
        <v>219</v>
      </c>
      <c r="F126" t="s">
        <v>91</v>
      </c>
      <c r="M126" s="4">
        <v>4</v>
      </c>
      <c r="N126" s="4">
        <v>4</v>
      </c>
      <c r="O126" s="4">
        <v>1</v>
      </c>
      <c r="P126" s="4">
        <v>1</v>
      </c>
      <c r="Q126" s="4">
        <v>0</v>
      </c>
      <c r="R126" s="4">
        <v>0</v>
      </c>
      <c r="S126" s="4">
        <f t="shared" si="7"/>
        <v>10</v>
      </c>
    </row>
    <row r="127" spans="1:19" x14ac:dyDescent="0.25">
      <c r="A127" s="3" t="s">
        <v>269</v>
      </c>
      <c r="B127" s="7" t="s">
        <v>262</v>
      </c>
      <c r="C127" t="s">
        <v>16</v>
      </c>
      <c r="D127" t="s">
        <v>220</v>
      </c>
      <c r="F127" t="s">
        <v>91</v>
      </c>
      <c r="M127" s="4">
        <v>2</v>
      </c>
      <c r="N127" s="4">
        <v>5</v>
      </c>
      <c r="O127" s="4">
        <v>4</v>
      </c>
      <c r="P127" s="4">
        <v>5</v>
      </c>
      <c r="Q127" s="4">
        <v>4</v>
      </c>
      <c r="R127" s="4">
        <v>0</v>
      </c>
      <c r="S127" s="4">
        <f t="shared" si="7"/>
        <v>20</v>
      </c>
    </row>
    <row r="128" spans="1:19" x14ac:dyDescent="0.25">
      <c r="A128" s="3" t="s">
        <v>269</v>
      </c>
      <c r="B128" s="7" t="s">
        <v>262</v>
      </c>
      <c r="C128" t="s">
        <v>16</v>
      </c>
      <c r="D128" t="s">
        <v>221</v>
      </c>
      <c r="F128" t="s">
        <v>91</v>
      </c>
      <c r="M128" s="4">
        <v>1</v>
      </c>
      <c r="N128" s="4">
        <v>0</v>
      </c>
      <c r="O128" s="4">
        <v>0</v>
      </c>
      <c r="P128" s="4">
        <v>1</v>
      </c>
      <c r="Q128" s="4">
        <v>1</v>
      </c>
      <c r="R128" s="4">
        <v>0</v>
      </c>
      <c r="S128" s="4">
        <f t="shared" ref="S128:S148" si="8">SUM(G128:R128)</f>
        <v>3</v>
      </c>
    </row>
    <row r="129" spans="1:19" x14ac:dyDescent="0.25">
      <c r="A129" s="3" t="s">
        <v>269</v>
      </c>
      <c r="B129" s="7" t="s">
        <v>255</v>
      </c>
      <c r="C129" t="s">
        <v>16</v>
      </c>
      <c r="D129" t="s">
        <v>222</v>
      </c>
      <c r="F129" t="s">
        <v>91</v>
      </c>
      <c r="M129" s="4">
        <v>0</v>
      </c>
      <c r="N129" s="4">
        <v>0</v>
      </c>
      <c r="O129" s="4">
        <v>0</v>
      </c>
      <c r="P129" s="4">
        <v>1</v>
      </c>
      <c r="Q129" s="4">
        <v>0</v>
      </c>
      <c r="R129" s="4">
        <v>0</v>
      </c>
      <c r="S129" s="4">
        <f t="shared" si="8"/>
        <v>1</v>
      </c>
    </row>
    <row r="130" spans="1:19" x14ac:dyDescent="0.25">
      <c r="A130" s="3" t="s">
        <v>269</v>
      </c>
      <c r="B130" s="7" t="s">
        <v>258</v>
      </c>
      <c r="C130" t="s">
        <v>16</v>
      </c>
      <c r="D130" t="s">
        <v>223</v>
      </c>
      <c r="F130" t="s">
        <v>91</v>
      </c>
      <c r="M130" s="4">
        <v>0</v>
      </c>
      <c r="N130" s="4">
        <v>1</v>
      </c>
      <c r="O130" s="4">
        <v>0</v>
      </c>
      <c r="P130" s="4">
        <v>0</v>
      </c>
      <c r="Q130" s="4">
        <v>0</v>
      </c>
      <c r="R130" s="4">
        <v>0</v>
      </c>
      <c r="S130" s="4">
        <f t="shared" si="8"/>
        <v>1</v>
      </c>
    </row>
    <row r="131" spans="1:19" x14ac:dyDescent="0.25">
      <c r="A131" s="3" t="s">
        <v>269</v>
      </c>
      <c r="B131" s="7" t="s">
        <v>252</v>
      </c>
      <c r="C131" t="s">
        <v>16</v>
      </c>
      <c r="D131" t="s">
        <v>224</v>
      </c>
      <c r="F131" t="s">
        <v>92</v>
      </c>
      <c r="M131" s="4">
        <v>14</v>
      </c>
      <c r="N131" s="4">
        <v>0</v>
      </c>
      <c r="O131" s="4">
        <v>1</v>
      </c>
      <c r="P131" s="4">
        <v>9</v>
      </c>
      <c r="Q131" s="4">
        <v>12</v>
      </c>
      <c r="R131" s="4">
        <v>0</v>
      </c>
      <c r="S131" s="4">
        <f t="shared" si="8"/>
        <v>36</v>
      </c>
    </row>
    <row r="132" spans="1:19" x14ac:dyDescent="0.25">
      <c r="A132" s="3" t="s">
        <v>269</v>
      </c>
      <c r="B132" s="7" t="s">
        <v>264</v>
      </c>
      <c r="C132" t="s">
        <v>16</v>
      </c>
      <c r="D132" t="s">
        <v>225</v>
      </c>
      <c r="F132" t="s">
        <v>91</v>
      </c>
      <c r="M132" s="4">
        <v>0</v>
      </c>
      <c r="N132" s="4">
        <v>0</v>
      </c>
      <c r="O132" s="4">
        <v>2</v>
      </c>
      <c r="P132" s="4">
        <v>0</v>
      </c>
      <c r="Q132" s="4">
        <v>0</v>
      </c>
      <c r="R132" s="4">
        <v>0</v>
      </c>
      <c r="S132" s="4">
        <f t="shared" si="8"/>
        <v>2</v>
      </c>
    </row>
    <row r="133" spans="1:19" x14ac:dyDescent="0.25">
      <c r="A133" s="3" t="s">
        <v>269</v>
      </c>
      <c r="B133" s="7" t="s">
        <v>255</v>
      </c>
      <c r="C133" t="s">
        <v>16</v>
      </c>
      <c r="D133" t="s">
        <v>226</v>
      </c>
      <c r="F133" t="s">
        <v>91</v>
      </c>
      <c r="M133" s="4">
        <v>2</v>
      </c>
      <c r="N133" s="4">
        <v>8</v>
      </c>
      <c r="O133" s="4">
        <v>5</v>
      </c>
      <c r="P133" s="4">
        <v>0</v>
      </c>
      <c r="Q133" s="4">
        <v>0</v>
      </c>
      <c r="R133" s="4">
        <v>0</v>
      </c>
      <c r="S133" s="4">
        <f t="shared" si="8"/>
        <v>15</v>
      </c>
    </row>
    <row r="134" spans="1:19" x14ac:dyDescent="0.25">
      <c r="A134" s="3" t="s">
        <v>269</v>
      </c>
      <c r="B134" s="7" t="s">
        <v>257</v>
      </c>
      <c r="C134" t="s">
        <v>16</v>
      </c>
      <c r="D134" t="s">
        <v>227</v>
      </c>
      <c r="F134" t="s">
        <v>91</v>
      </c>
      <c r="M134" s="4">
        <v>0</v>
      </c>
      <c r="N134" s="4">
        <v>1</v>
      </c>
      <c r="O134" s="4">
        <v>0</v>
      </c>
      <c r="P134" s="4">
        <v>0</v>
      </c>
      <c r="Q134" s="4">
        <v>0</v>
      </c>
      <c r="R134" s="4">
        <v>0</v>
      </c>
      <c r="S134" s="4">
        <f t="shared" si="8"/>
        <v>1</v>
      </c>
    </row>
    <row r="135" spans="1:19" x14ac:dyDescent="0.25">
      <c r="A135" s="3" t="s">
        <v>269</v>
      </c>
      <c r="B135" s="7" t="s">
        <v>256</v>
      </c>
      <c r="C135" t="s">
        <v>16</v>
      </c>
      <c r="D135" t="s">
        <v>228</v>
      </c>
      <c r="F135" t="s">
        <v>91</v>
      </c>
      <c r="M135" s="4">
        <v>0</v>
      </c>
      <c r="N135" s="4">
        <v>4</v>
      </c>
      <c r="O135" s="4">
        <v>0</v>
      </c>
      <c r="P135" s="4">
        <v>0</v>
      </c>
      <c r="Q135" s="4">
        <v>0</v>
      </c>
      <c r="R135" s="4">
        <v>0</v>
      </c>
      <c r="S135" s="4">
        <f t="shared" si="8"/>
        <v>4</v>
      </c>
    </row>
    <row r="136" spans="1:19" x14ac:dyDescent="0.25">
      <c r="A136" s="3" t="s">
        <v>269</v>
      </c>
      <c r="B136" s="7" t="s">
        <v>256</v>
      </c>
      <c r="C136" t="s">
        <v>16</v>
      </c>
      <c r="D136" t="s">
        <v>229</v>
      </c>
      <c r="F136" t="s">
        <v>91</v>
      </c>
      <c r="M136" s="4">
        <v>0</v>
      </c>
      <c r="N136" s="4">
        <v>3</v>
      </c>
      <c r="O136" s="4">
        <v>0</v>
      </c>
      <c r="P136" s="4">
        <v>0</v>
      </c>
      <c r="Q136" s="4">
        <v>0</v>
      </c>
      <c r="R136" s="4">
        <v>0</v>
      </c>
      <c r="S136" s="4">
        <f t="shared" si="8"/>
        <v>3</v>
      </c>
    </row>
    <row r="137" spans="1:19" x14ac:dyDescent="0.25">
      <c r="A137" s="3" t="s">
        <v>269</v>
      </c>
      <c r="B137" s="7" t="s">
        <v>257</v>
      </c>
      <c r="C137" t="s">
        <v>16</v>
      </c>
      <c r="D137" t="s">
        <v>230</v>
      </c>
      <c r="F137" t="s">
        <v>91</v>
      </c>
      <c r="M137" s="4">
        <v>5</v>
      </c>
      <c r="N137" s="4">
        <v>11</v>
      </c>
      <c r="O137" s="4">
        <v>3</v>
      </c>
      <c r="P137" s="4">
        <v>1</v>
      </c>
      <c r="Q137" s="4">
        <v>2</v>
      </c>
      <c r="R137" s="4">
        <v>0</v>
      </c>
      <c r="S137" s="4">
        <f t="shared" si="8"/>
        <v>22</v>
      </c>
    </row>
    <row r="138" spans="1:19" x14ac:dyDescent="0.25">
      <c r="A138" s="3" t="s">
        <v>269</v>
      </c>
      <c r="B138" s="7" t="s">
        <v>257</v>
      </c>
      <c r="C138" t="s">
        <v>16</v>
      </c>
      <c r="D138" t="s">
        <v>231</v>
      </c>
      <c r="F138" t="s">
        <v>91</v>
      </c>
      <c r="M138" s="4">
        <v>5</v>
      </c>
      <c r="N138" s="4">
        <v>10</v>
      </c>
      <c r="O138" s="4">
        <v>0</v>
      </c>
      <c r="P138" s="4">
        <v>3</v>
      </c>
      <c r="Q138" s="4">
        <v>2</v>
      </c>
      <c r="R138" s="4">
        <v>0</v>
      </c>
      <c r="S138" s="4">
        <f t="shared" si="8"/>
        <v>20</v>
      </c>
    </row>
    <row r="139" spans="1:19" x14ac:dyDescent="0.25">
      <c r="A139" s="3" t="s">
        <v>269</v>
      </c>
      <c r="B139" s="7" t="s">
        <v>257</v>
      </c>
      <c r="C139" t="s">
        <v>16</v>
      </c>
      <c r="D139" t="s">
        <v>232</v>
      </c>
      <c r="F139" t="s">
        <v>91</v>
      </c>
      <c r="M139" s="4">
        <v>3</v>
      </c>
      <c r="N139" s="4">
        <v>5</v>
      </c>
      <c r="O139" s="4">
        <v>2</v>
      </c>
      <c r="P139" s="4">
        <v>1</v>
      </c>
      <c r="Q139" s="4">
        <v>1</v>
      </c>
      <c r="R139" s="4">
        <v>0</v>
      </c>
      <c r="S139" s="4">
        <f t="shared" si="8"/>
        <v>12</v>
      </c>
    </row>
    <row r="140" spans="1:19" x14ac:dyDescent="0.25">
      <c r="A140" s="3" t="s">
        <v>269</v>
      </c>
      <c r="B140" s="7" t="s">
        <v>257</v>
      </c>
      <c r="C140" t="s">
        <v>16</v>
      </c>
      <c r="D140" t="s">
        <v>233</v>
      </c>
      <c r="F140" t="s">
        <v>91</v>
      </c>
      <c r="M140" s="4">
        <v>2</v>
      </c>
      <c r="N140" s="4">
        <v>4</v>
      </c>
      <c r="O140" s="4">
        <v>1</v>
      </c>
      <c r="P140" s="4">
        <v>1</v>
      </c>
      <c r="Q140" s="4">
        <v>1</v>
      </c>
      <c r="R140" s="4">
        <v>0</v>
      </c>
      <c r="S140" s="4">
        <f t="shared" si="8"/>
        <v>9</v>
      </c>
    </row>
    <row r="141" spans="1:19" x14ac:dyDescent="0.25">
      <c r="A141" s="3" t="s">
        <v>269</v>
      </c>
      <c r="B141" s="7" t="s">
        <v>264</v>
      </c>
      <c r="C141" t="s">
        <v>16</v>
      </c>
      <c r="D141" t="s">
        <v>234</v>
      </c>
      <c r="F141" t="s">
        <v>94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0</v>
      </c>
      <c r="S141" s="4">
        <f t="shared" si="8"/>
        <v>1</v>
      </c>
    </row>
    <row r="142" spans="1:19" x14ac:dyDescent="0.25">
      <c r="A142" s="3" t="s">
        <v>269</v>
      </c>
      <c r="B142" s="7" t="s">
        <v>265</v>
      </c>
      <c r="C142" t="s">
        <v>16</v>
      </c>
      <c r="D142" t="s">
        <v>235</v>
      </c>
      <c r="F142" t="s">
        <v>91</v>
      </c>
      <c r="M142" s="4">
        <v>0</v>
      </c>
      <c r="N142" s="4">
        <v>3</v>
      </c>
      <c r="O142" s="4">
        <v>0</v>
      </c>
      <c r="P142" s="4">
        <v>0</v>
      </c>
      <c r="Q142" s="4">
        <v>0</v>
      </c>
      <c r="R142" s="4">
        <v>0</v>
      </c>
      <c r="S142" s="4">
        <f t="shared" si="8"/>
        <v>3</v>
      </c>
    </row>
    <row r="143" spans="1:19" x14ac:dyDescent="0.25">
      <c r="A143" s="3" t="s">
        <v>269</v>
      </c>
      <c r="B143" s="7" t="s">
        <v>254</v>
      </c>
      <c r="C143" t="s">
        <v>16</v>
      </c>
      <c r="D143" t="s">
        <v>236</v>
      </c>
      <c r="F143" t="s">
        <v>268</v>
      </c>
      <c r="M143" s="4">
        <v>24</v>
      </c>
      <c r="N143" s="4">
        <v>16</v>
      </c>
      <c r="O143" s="4">
        <v>17</v>
      </c>
      <c r="P143" s="4">
        <v>20</v>
      </c>
      <c r="Q143" s="4">
        <v>0</v>
      </c>
      <c r="R143" s="4">
        <v>0</v>
      </c>
      <c r="S143" s="4">
        <f t="shared" si="8"/>
        <v>77</v>
      </c>
    </row>
    <row r="144" spans="1:19" x14ac:dyDescent="0.25">
      <c r="A144" s="3" t="s">
        <v>269</v>
      </c>
      <c r="B144" s="7" t="s">
        <v>254</v>
      </c>
      <c r="C144" t="s">
        <v>16</v>
      </c>
      <c r="D144" t="s">
        <v>237</v>
      </c>
      <c r="F144" t="s">
        <v>268</v>
      </c>
      <c r="M144" s="4">
        <v>1</v>
      </c>
      <c r="N144" s="4">
        <v>3</v>
      </c>
      <c r="O144" s="4">
        <v>0</v>
      </c>
      <c r="P144" s="4">
        <v>0</v>
      </c>
      <c r="Q144" s="4">
        <v>0</v>
      </c>
      <c r="R144" s="4">
        <v>0</v>
      </c>
      <c r="S144" s="4">
        <f t="shared" si="8"/>
        <v>4</v>
      </c>
    </row>
    <row r="145" spans="1:19" x14ac:dyDescent="0.25">
      <c r="A145" s="3" t="s">
        <v>269</v>
      </c>
      <c r="B145" s="7" t="s">
        <v>253</v>
      </c>
      <c r="C145" t="s">
        <v>16</v>
      </c>
      <c r="D145" t="s">
        <v>238</v>
      </c>
      <c r="F145" t="s">
        <v>91</v>
      </c>
      <c r="M145" s="4">
        <v>0</v>
      </c>
      <c r="N145" s="4">
        <v>2</v>
      </c>
      <c r="O145" s="4">
        <v>1</v>
      </c>
      <c r="P145" s="4">
        <v>0</v>
      </c>
      <c r="Q145" s="4">
        <v>0</v>
      </c>
      <c r="R145" s="4">
        <v>0</v>
      </c>
      <c r="S145" s="4">
        <f t="shared" si="8"/>
        <v>3</v>
      </c>
    </row>
    <row r="146" spans="1:19" x14ac:dyDescent="0.25">
      <c r="A146" s="3" t="s">
        <v>269</v>
      </c>
      <c r="B146" s="7" t="s">
        <v>254</v>
      </c>
      <c r="C146" t="s">
        <v>16</v>
      </c>
      <c r="D146" t="s">
        <v>239</v>
      </c>
      <c r="F146" t="s">
        <v>92</v>
      </c>
      <c r="M146" s="4">
        <v>5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f t="shared" si="8"/>
        <v>5</v>
      </c>
    </row>
    <row r="147" spans="1:19" x14ac:dyDescent="0.25">
      <c r="A147" s="3" t="s">
        <v>269</v>
      </c>
      <c r="B147" s="7" t="s">
        <v>254</v>
      </c>
      <c r="C147" t="s">
        <v>16</v>
      </c>
      <c r="D147" t="s">
        <v>240</v>
      </c>
      <c r="F147" t="s">
        <v>268</v>
      </c>
      <c r="M147" s="4">
        <v>41</v>
      </c>
      <c r="N147" s="4">
        <v>35</v>
      </c>
      <c r="O147" s="4">
        <v>21</v>
      </c>
      <c r="P147" s="4">
        <v>24</v>
      </c>
      <c r="Q147" s="4">
        <v>20</v>
      </c>
      <c r="R147" s="4">
        <v>0</v>
      </c>
      <c r="S147" s="4">
        <f t="shared" si="8"/>
        <v>141</v>
      </c>
    </row>
    <row r="148" spans="1:19" x14ac:dyDescent="0.25">
      <c r="A148" s="3" t="s">
        <v>269</v>
      </c>
      <c r="B148" s="7" t="s">
        <v>262</v>
      </c>
      <c r="C148" t="s">
        <v>16</v>
      </c>
      <c r="D148" t="s">
        <v>241</v>
      </c>
      <c r="F148" t="s">
        <v>91</v>
      </c>
      <c r="M148" s="4">
        <v>0</v>
      </c>
      <c r="N148" s="4">
        <v>0</v>
      </c>
      <c r="O148" s="4">
        <v>1</v>
      </c>
      <c r="P148" s="4">
        <v>2</v>
      </c>
      <c r="Q148" s="4">
        <v>0</v>
      </c>
      <c r="R148" s="4">
        <v>0</v>
      </c>
      <c r="S148" s="4">
        <f t="shared" si="8"/>
        <v>3</v>
      </c>
    </row>
    <row r="149" spans="1:19" x14ac:dyDescent="0.25">
      <c r="A149" s="3" t="s">
        <v>269</v>
      </c>
      <c r="B149" s="7" t="s">
        <v>265</v>
      </c>
      <c r="C149" t="s">
        <v>16</v>
      </c>
      <c r="D149" t="s">
        <v>242</v>
      </c>
      <c r="F149" t="s">
        <v>93</v>
      </c>
      <c r="M149" s="4">
        <v>0</v>
      </c>
      <c r="N149" s="4">
        <v>3</v>
      </c>
      <c r="O149" s="4">
        <v>0</v>
      </c>
      <c r="P149" s="4">
        <v>2</v>
      </c>
      <c r="Q149" s="4">
        <v>0</v>
      </c>
      <c r="R149" s="4">
        <v>0</v>
      </c>
      <c r="S149" s="4">
        <f t="shared" ref="S149:S158" si="9">SUM(G149:R149)</f>
        <v>5</v>
      </c>
    </row>
    <row r="150" spans="1:19" x14ac:dyDescent="0.25">
      <c r="A150" s="3" t="s">
        <v>269</v>
      </c>
      <c r="B150" s="7" t="s">
        <v>258</v>
      </c>
      <c r="C150" t="s">
        <v>16</v>
      </c>
      <c r="D150" t="s">
        <v>243</v>
      </c>
      <c r="F150" t="s">
        <v>91</v>
      </c>
      <c r="M150" s="4">
        <v>0</v>
      </c>
      <c r="N150" s="4">
        <v>1</v>
      </c>
      <c r="O150" s="4">
        <v>0</v>
      </c>
      <c r="P150" s="4">
        <v>0</v>
      </c>
      <c r="Q150" s="4">
        <v>0</v>
      </c>
      <c r="R150" s="4">
        <v>0</v>
      </c>
      <c r="S150" s="4">
        <f t="shared" si="9"/>
        <v>1</v>
      </c>
    </row>
    <row r="151" spans="1:19" x14ac:dyDescent="0.25">
      <c r="A151" s="3" t="s">
        <v>269</v>
      </c>
      <c r="B151" s="7" t="s">
        <v>266</v>
      </c>
      <c r="C151" t="s">
        <v>16</v>
      </c>
      <c r="D151" t="s">
        <v>244</v>
      </c>
      <c r="F151" t="s">
        <v>91</v>
      </c>
      <c r="M151" s="4">
        <v>1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f t="shared" si="9"/>
        <v>1</v>
      </c>
    </row>
    <row r="152" spans="1:19" x14ac:dyDescent="0.25">
      <c r="A152" s="3" t="s">
        <v>269</v>
      </c>
      <c r="B152" s="7" t="s">
        <v>266</v>
      </c>
      <c r="C152" t="s">
        <v>16</v>
      </c>
      <c r="D152" t="s">
        <v>245</v>
      </c>
      <c r="F152" t="s">
        <v>91</v>
      </c>
      <c r="M152" s="4">
        <v>1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f t="shared" si="9"/>
        <v>1</v>
      </c>
    </row>
    <row r="153" spans="1:19" x14ac:dyDescent="0.25">
      <c r="A153" s="3" t="s">
        <v>269</v>
      </c>
      <c r="B153" s="7" t="s">
        <v>266</v>
      </c>
      <c r="C153" t="s">
        <v>16</v>
      </c>
      <c r="D153" t="s">
        <v>246</v>
      </c>
      <c r="F153" t="s">
        <v>91</v>
      </c>
      <c r="M153" s="4">
        <v>1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f t="shared" si="9"/>
        <v>1</v>
      </c>
    </row>
    <row r="154" spans="1:19" x14ac:dyDescent="0.25">
      <c r="A154" s="3" t="s">
        <v>269</v>
      </c>
      <c r="B154" s="7" t="s">
        <v>266</v>
      </c>
      <c r="C154" t="s">
        <v>16</v>
      </c>
      <c r="D154" t="s">
        <v>247</v>
      </c>
      <c r="F154" t="s">
        <v>91</v>
      </c>
      <c r="M154" s="4">
        <v>1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f t="shared" si="9"/>
        <v>1</v>
      </c>
    </row>
    <row r="155" spans="1:19" x14ac:dyDescent="0.25">
      <c r="A155" s="3" t="s">
        <v>269</v>
      </c>
      <c r="B155" s="7" t="s">
        <v>264</v>
      </c>
      <c r="C155" t="s">
        <v>16</v>
      </c>
      <c r="D155" t="s">
        <v>248</v>
      </c>
      <c r="F155" t="s">
        <v>91</v>
      </c>
      <c r="M155" s="4">
        <v>1</v>
      </c>
      <c r="N155" s="4">
        <v>25</v>
      </c>
      <c r="O155" s="4">
        <v>163</v>
      </c>
      <c r="P155" s="4">
        <v>98</v>
      </c>
      <c r="Q155" s="4">
        <v>0</v>
      </c>
      <c r="R155" s="4">
        <v>0</v>
      </c>
      <c r="S155" s="4">
        <f t="shared" si="9"/>
        <v>287</v>
      </c>
    </row>
    <row r="156" spans="1:19" x14ac:dyDescent="0.25">
      <c r="A156" s="3" t="s">
        <v>269</v>
      </c>
      <c r="B156" s="7" t="s">
        <v>263</v>
      </c>
      <c r="C156" t="s">
        <v>16</v>
      </c>
      <c r="D156" t="s">
        <v>249</v>
      </c>
      <c r="F156" t="s">
        <v>91</v>
      </c>
      <c r="M156" s="4">
        <v>0</v>
      </c>
      <c r="N156" s="4">
        <v>0</v>
      </c>
      <c r="O156" s="4">
        <v>11</v>
      </c>
      <c r="P156" s="4">
        <v>0</v>
      </c>
      <c r="Q156" s="4">
        <v>0</v>
      </c>
      <c r="R156" s="4">
        <v>0</v>
      </c>
      <c r="S156" s="4">
        <f t="shared" si="9"/>
        <v>11</v>
      </c>
    </row>
    <row r="157" spans="1:19" x14ac:dyDescent="0.25">
      <c r="A157" s="3" t="s">
        <v>269</v>
      </c>
      <c r="B157" s="7" t="s">
        <v>256</v>
      </c>
      <c r="C157" t="s">
        <v>16</v>
      </c>
      <c r="D157" t="s">
        <v>250</v>
      </c>
      <c r="F157" t="s">
        <v>91</v>
      </c>
      <c r="M157" s="4">
        <v>0</v>
      </c>
      <c r="N157" s="4">
        <v>2</v>
      </c>
      <c r="O157" s="4">
        <v>0</v>
      </c>
      <c r="P157" s="4">
        <v>0</v>
      </c>
      <c r="Q157" s="4">
        <v>0</v>
      </c>
      <c r="R157" s="4">
        <v>0</v>
      </c>
      <c r="S157" s="4">
        <f t="shared" si="9"/>
        <v>2</v>
      </c>
    </row>
    <row r="158" spans="1:19" x14ac:dyDescent="0.25">
      <c r="A158" s="3" t="s">
        <v>269</v>
      </c>
      <c r="B158" s="7" t="s">
        <v>257</v>
      </c>
      <c r="C158" t="s">
        <v>16</v>
      </c>
      <c r="D158" t="s">
        <v>251</v>
      </c>
      <c r="F158" t="s">
        <v>91</v>
      </c>
      <c r="M158" s="4">
        <v>0</v>
      </c>
      <c r="N158" s="4">
        <v>1</v>
      </c>
      <c r="O158" s="4">
        <v>0</v>
      </c>
      <c r="P158" s="4">
        <v>0</v>
      </c>
      <c r="Q158" s="4">
        <v>0</v>
      </c>
      <c r="R158" s="4">
        <v>0</v>
      </c>
      <c r="S158" s="4">
        <f t="shared" si="9"/>
        <v>1</v>
      </c>
    </row>
  </sheetData>
  <autoFilter ref="A1:S158" xr:uid="{AEA4E0AB-3678-482E-AEF0-B5995606732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5CF2-005A-4B7A-9BC8-339716A441BA}">
  <dimension ref="A1:A71"/>
  <sheetViews>
    <sheetView showGridLines="0" topLeftCell="A59" workbookViewId="0">
      <selection activeCell="A76" sqref="A76"/>
    </sheetView>
  </sheetViews>
  <sheetFormatPr defaultRowHeight="15" x14ac:dyDescent="0.25"/>
  <cols>
    <col min="1" max="1" width="229.28515625" bestFit="1" customWidth="1"/>
  </cols>
  <sheetData>
    <row r="1" spans="1:1" x14ac:dyDescent="0.25">
      <c r="A1" s="5" t="s">
        <v>20</v>
      </c>
    </row>
    <row r="2" spans="1:1" x14ac:dyDescent="0.25">
      <c r="A2" s="5" t="s">
        <v>21</v>
      </c>
    </row>
    <row r="3" spans="1:1" x14ac:dyDescent="0.25">
      <c r="A3" s="5" t="s">
        <v>22</v>
      </c>
    </row>
    <row r="4" spans="1:1" x14ac:dyDescent="0.25">
      <c r="A4" s="5" t="s">
        <v>23</v>
      </c>
    </row>
    <row r="5" spans="1:1" x14ac:dyDescent="0.25">
      <c r="A5" s="5" t="s">
        <v>24</v>
      </c>
    </row>
    <row r="6" spans="1:1" x14ac:dyDescent="0.25">
      <c r="A6" s="5" t="s">
        <v>25</v>
      </c>
    </row>
    <row r="7" spans="1:1" x14ac:dyDescent="0.25">
      <c r="A7" s="5" t="s">
        <v>26</v>
      </c>
    </row>
    <row r="8" spans="1:1" x14ac:dyDescent="0.25">
      <c r="A8" s="5" t="s">
        <v>27</v>
      </c>
    </row>
    <row r="9" spans="1:1" x14ac:dyDescent="0.25">
      <c r="A9" s="5" t="s">
        <v>28</v>
      </c>
    </row>
    <row r="10" spans="1:1" x14ac:dyDescent="0.25">
      <c r="A10" s="5" t="s">
        <v>29</v>
      </c>
    </row>
    <row r="11" spans="1:1" x14ac:dyDescent="0.25">
      <c r="A11" s="5" t="s">
        <v>30</v>
      </c>
    </row>
    <row r="12" spans="1:1" x14ac:dyDescent="0.25">
      <c r="A12" s="5" t="s">
        <v>31</v>
      </c>
    </row>
    <row r="13" spans="1:1" x14ac:dyDescent="0.25">
      <c r="A13" s="5" t="s">
        <v>32</v>
      </c>
    </row>
    <row r="14" spans="1:1" x14ac:dyDescent="0.25">
      <c r="A14" s="5" t="s">
        <v>33</v>
      </c>
    </row>
    <row r="15" spans="1:1" x14ac:dyDescent="0.25">
      <c r="A15" s="5" t="s">
        <v>34</v>
      </c>
    </row>
    <row r="16" spans="1:1" x14ac:dyDescent="0.25">
      <c r="A16" s="5" t="s">
        <v>35</v>
      </c>
    </row>
    <row r="17" spans="1:1" x14ac:dyDescent="0.25">
      <c r="A17" s="5" t="s">
        <v>36</v>
      </c>
    </row>
    <row r="18" spans="1:1" x14ac:dyDescent="0.25">
      <c r="A18" s="5" t="s">
        <v>37</v>
      </c>
    </row>
    <row r="19" spans="1:1" x14ac:dyDescent="0.25">
      <c r="A19" s="5" t="s">
        <v>38</v>
      </c>
    </row>
    <row r="20" spans="1:1" x14ac:dyDescent="0.25">
      <c r="A20" s="5" t="s">
        <v>39</v>
      </c>
    </row>
    <row r="21" spans="1:1" x14ac:dyDescent="0.25">
      <c r="A21" s="5" t="s">
        <v>40</v>
      </c>
    </row>
    <row r="22" spans="1:1" x14ac:dyDescent="0.25">
      <c r="A22" s="5" t="s">
        <v>41</v>
      </c>
    </row>
    <row r="23" spans="1:1" x14ac:dyDescent="0.25">
      <c r="A23" s="5" t="s">
        <v>42</v>
      </c>
    </row>
    <row r="24" spans="1:1" x14ac:dyDescent="0.25">
      <c r="A24" s="5" t="s">
        <v>43</v>
      </c>
    </row>
    <row r="25" spans="1:1" x14ac:dyDescent="0.25">
      <c r="A25" s="5" t="s">
        <v>44</v>
      </c>
    </row>
    <row r="26" spans="1:1" x14ac:dyDescent="0.25">
      <c r="A26" s="5" t="s">
        <v>45</v>
      </c>
    </row>
    <row r="27" spans="1:1" x14ac:dyDescent="0.25">
      <c r="A27" s="5" t="s">
        <v>46</v>
      </c>
    </row>
    <row r="28" spans="1:1" x14ac:dyDescent="0.25">
      <c r="A28" s="5" t="s">
        <v>47</v>
      </c>
    </row>
    <row r="29" spans="1:1" x14ac:dyDescent="0.25">
      <c r="A29" s="5" t="s">
        <v>48</v>
      </c>
    </row>
    <row r="30" spans="1:1" x14ac:dyDescent="0.25">
      <c r="A30" s="5" t="s">
        <v>49</v>
      </c>
    </row>
    <row r="31" spans="1:1" x14ac:dyDescent="0.25">
      <c r="A31" s="5" t="s">
        <v>50</v>
      </c>
    </row>
    <row r="32" spans="1:1" x14ac:dyDescent="0.25">
      <c r="A32" s="5" t="s">
        <v>51</v>
      </c>
    </row>
    <row r="33" spans="1:1" x14ac:dyDescent="0.25">
      <c r="A33" s="5" t="s">
        <v>52</v>
      </c>
    </row>
    <row r="34" spans="1:1" x14ac:dyDescent="0.25">
      <c r="A34" s="5" t="s">
        <v>53</v>
      </c>
    </row>
    <row r="35" spans="1:1" x14ac:dyDescent="0.25">
      <c r="A35" s="5" t="s">
        <v>54</v>
      </c>
    </row>
    <row r="36" spans="1:1" x14ac:dyDescent="0.25">
      <c r="A36" s="5" t="s">
        <v>55</v>
      </c>
    </row>
    <row r="37" spans="1:1" x14ac:dyDescent="0.25">
      <c r="A37" s="5" t="s">
        <v>56</v>
      </c>
    </row>
    <row r="38" spans="1:1" x14ac:dyDescent="0.25">
      <c r="A38" s="5" t="s">
        <v>57</v>
      </c>
    </row>
    <row r="39" spans="1:1" x14ac:dyDescent="0.25">
      <c r="A39" s="5" t="s">
        <v>58</v>
      </c>
    </row>
    <row r="40" spans="1:1" x14ac:dyDescent="0.25">
      <c r="A40" s="5" t="s">
        <v>59</v>
      </c>
    </row>
    <row r="41" spans="1:1" x14ac:dyDescent="0.25">
      <c r="A41" s="5" t="s">
        <v>60</v>
      </c>
    </row>
    <row r="42" spans="1:1" x14ac:dyDescent="0.25">
      <c r="A42" s="5" t="s">
        <v>61</v>
      </c>
    </row>
    <row r="43" spans="1:1" x14ac:dyDescent="0.25">
      <c r="A43" s="5" t="s">
        <v>62</v>
      </c>
    </row>
    <row r="44" spans="1:1" x14ac:dyDescent="0.25">
      <c r="A44" s="5" t="s">
        <v>63</v>
      </c>
    </row>
    <row r="45" spans="1:1" x14ac:dyDescent="0.25">
      <c r="A45" s="5" t="s">
        <v>64</v>
      </c>
    </row>
    <row r="46" spans="1:1" x14ac:dyDescent="0.25">
      <c r="A46" s="5" t="s">
        <v>65</v>
      </c>
    </row>
    <row r="47" spans="1:1" x14ac:dyDescent="0.25">
      <c r="A47" s="5" t="s">
        <v>66</v>
      </c>
    </row>
    <row r="48" spans="1:1" x14ac:dyDescent="0.25">
      <c r="A48" s="5" t="s">
        <v>67</v>
      </c>
    </row>
    <row r="49" spans="1:1" x14ac:dyDescent="0.25">
      <c r="A49" s="5" t="s">
        <v>68</v>
      </c>
    </row>
    <row r="50" spans="1:1" x14ac:dyDescent="0.25">
      <c r="A50" s="5" t="s">
        <v>69</v>
      </c>
    </row>
    <row r="51" spans="1:1" x14ac:dyDescent="0.25">
      <c r="A51" s="5" t="s">
        <v>70</v>
      </c>
    </row>
    <row r="52" spans="1:1" x14ac:dyDescent="0.25">
      <c r="A52" s="5" t="s">
        <v>71</v>
      </c>
    </row>
    <row r="53" spans="1:1" x14ac:dyDescent="0.25">
      <c r="A53" s="5" t="s">
        <v>72</v>
      </c>
    </row>
    <row r="54" spans="1:1" x14ac:dyDescent="0.25">
      <c r="A54" s="5" t="s">
        <v>73</v>
      </c>
    </row>
    <row r="55" spans="1:1" x14ac:dyDescent="0.25">
      <c r="A55" s="5" t="s">
        <v>74</v>
      </c>
    </row>
    <row r="56" spans="1:1" x14ac:dyDescent="0.25">
      <c r="A56" s="5" t="s">
        <v>75</v>
      </c>
    </row>
    <row r="57" spans="1:1" x14ac:dyDescent="0.25">
      <c r="A57" s="5" t="s">
        <v>76</v>
      </c>
    </row>
    <row r="58" spans="1:1" x14ac:dyDescent="0.25">
      <c r="A58" s="5" t="s">
        <v>77</v>
      </c>
    </row>
    <row r="59" spans="1:1" x14ac:dyDescent="0.25">
      <c r="A59" s="5" t="s">
        <v>78</v>
      </c>
    </row>
    <row r="60" spans="1:1" x14ac:dyDescent="0.25">
      <c r="A60" s="5" t="s">
        <v>79</v>
      </c>
    </row>
    <row r="61" spans="1:1" x14ac:dyDescent="0.25">
      <c r="A61" s="5" t="s">
        <v>80</v>
      </c>
    </row>
    <row r="62" spans="1:1" x14ac:dyDescent="0.25">
      <c r="A62" s="5" t="s">
        <v>81</v>
      </c>
    </row>
    <row r="63" spans="1:1" x14ac:dyDescent="0.25">
      <c r="A63" s="5" t="s">
        <v>82</v>
      </c>
    </row>
    <row r="64" spans="1:1" x14ac:dyDescent="0.25">
      <c r="A64" s="5" t="s">
        <v>83</v>
      </c>
    </row>
    <row r="65" spans="1:1" x14ac:dyDescent="0.25">
      <c r="A65" s="5" t="s">
        <v>84</v>
      </c>
    </row>
    <row r="66" spans="1:1" x14ac:dyDescent="0.25">
      <c r="A66" s="5" t="s">
        <v>85</v>
      </c>
    </row>
    <row r="67" spans="1:1" x14ac:dyDescent="0.25">
      <c r="A67" s="5" t="s">
        <v>86</v>
      </c>
    </row>
    <row r="68" spans="1:1" x14ac:dyDescent="0.25">
      <c r="A68" s="5" t="s">
        <v>87</v>
      </c>
    </row>
    <row r="69" spans="1:1" x14ac:dyDescent="0.25">
      <c r="A69" s="5" t="s">
        <v>88</v>
      </c>
    </row>
    <row r="70" spans="1:1" x14ac:dyDescent="0.25">
      <c r="A70" s="5" t="s">
        <v>89</v>
      </c>
    </row>
    <row r="71" spans="1:1" x14ac:dyDescent="0.25">
      <c r="A71" s="5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PROMPT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2026-02-19T17:25:10Z</dcterms:created>
  <dcterms:modified xsi:type="dcterms:W3CDTF">2026-04-09T12:03:44Z</dcterms:modified>
</cp:coreProperties>
</file>